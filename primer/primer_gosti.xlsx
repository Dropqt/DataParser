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ica" sheetId="1" state="visible" r:id="rId1"/>
    <sheet name="Mileta" sheetId="2" state="visible" r:id="rId2"/>
    <sheet name="Zorica" sheetId="3" state="visible" r:id="rId3"/>
    <sheet name="Primeri" sheetId="4" state="visible" r:id="rId4"/>
    <sheet name="Uputstvo" sheetId="5" state="visible" r:id="rId5"/>
  </sheets>
  <definedNames>
    <definedName name="_xlnm._FilterDatabase" localSheetId="0" hidden="1">'Danica'!$A$1:$J$201</definedName>
    <definedName name="_xlnm._FilterDatabase" localSheetId="1" hidden="1">'Mileta'!$A$1:$J$201</definedName>
    <definedName name="_xlnm._FilterDatabase" localSheetId="2" hidden="1">'Zorica'!$A$1:$J$201</definedName>
    <definedName name="_xlnm._FilterDatabase" localSheetId="3" hidden="1">'Primeri'!$A$1:$J$201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sz val="15"/>
    </font>
    <font>
      <b val="1"/>
      <color rgb="FF44546A"/>
      <sz val="11"/>
    </font>
    <font>
      <i val="1"/>
      <color rgb="FF9C0006"/>
    </font>
  </fonts>
  <fills count="3">
    <fill>
      <patternFill/>
    </fill>
    <fill>
      <patternFill patternType="gray125"/>
    </fill>
    <fill>
      <patternFill patternType="solid">
        <fgColor rgb="FF44546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9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6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8" customWidth="1" min="11" max="14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Dolazak</t>
        </is>
      </c>
      <c r="E1" s="1" t="inlineStr">
        <is>
          <t>Dana</t>
        </is>
      </c>
      <c r="F1" s="1" t="inlineStr">
        <is>
          <t>E-mail</t>
        </is>
      </c>
      <c r="G1" s="1" t="inlineStr">
        <is>
          <t>STATUS</t>
        </is>
      </c>
      <c r="H1" s="1" t="inlineStr">
        <is>
          <t>RAZLOG</t>
        </is>
      </c>
      <c r="I1" s="1" t="inlineStr">
        <is>
          <t>PDF</t>
        </is>
      </c>
      <c r="J1" s="1" t="inlineStr">
        <is>
          <t>PROVERA JMBG</t>
        </is>
      </c>
      <c r="K1" s="1" t="inlineStr">
        <is>
          <t>zbir</t>
        </is>
      </c>
      <c r="L1" s="1" t="inlineStr">
        <is>
          <t>kontrolna</t>
        </is>
      </c>
      <c r="M1" s="1" t="inlineStr">
        <is>
          <t>godina</t>
        </is>
      </c>
      <c r="N1" s="1" t="inlineStr">
        <is>
          <t>dat.rođ.</t>
        </is>
      </c>
    </row>
    <row r="2">
      <c r="A2" s="2" t="n"/>
      <c r="B2" s="2" t="n"/>
      <c r="C2" s="3" t="n"/>
      <c r="D2" s="2" t="n"/>
      <c r="E2" s="4">
        <f>IF(A2="","",5)</f>
        <v/>
      </c>
      <c r="F2" s="2" t="n"/>
      <c r="G2" s="4" t="n"/>
      <c r="H2" s="2" t="n"/>
      <c r="I2" s="2" t="n"/>
      <c r="J2" s="2">
        <f>IF(C2="","",IF(LEN(C2)&lt;&gt;13,"Nema 13 cifara (ima "&amp;LEN(C2)&amp;")",IF(L2="","JMBG sadrži nešto što nije cifra",IF(N2="","Nepostojeći datum rođenja",IF(VALUE(MID(C2,13,1))&lt;&gt;L2,"Pogrešna kontrolna cifra - treba "&amp;L2,"✓ ispravan")))))</f>
        <v/>
      </c>
      <c r="K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L2">
        <f>IF(K2="","",IF(11-MOD(K2,11)&gt;9,0,11-MOD(K2,11)))</f>
        <v/>
      </c>
      <c r="M2">
        <f>IFERROR(IF(LEN(C2)&lt;&gt;13,"",IF(VALUE(MID(C2,5,3))&gt;=800,1000,2000)+VALUE(MID(C2,5,3))),"")</f>
        <v/>
      </c>
      <c r="N2">
        <f>IFERROR(IF(M2="","",IF(AND(DAY(DATE(M2,VALUE(MID(C2,3,2)),VALUE(MID(C2,1,2))))=VALUE(MID(C2,1,2)),MONTH(DATE(M2,VALUE(MID(C2,3,2)),VALUE(MID(C2,1,2))))=VALUE(MID(C2,3,2))),DATE(M2,VALUE(MID(C2,3,2)),VALUE(MID(C2,1,2))),"")),"")</f>
        <v/>
      </c>
    </row>
    <row r="3">
      <c r="A3" s="2" t="n"/>
      <c r="B3" s="2" t="n"/>
      <c r="C3" s="3" t="n"/>
      <c r="D3" s="2" t="n"/>
      <c r="E3" s="4">
        <f>IF(A3="","",5)</f>
        <v/>
      </c>
      <c r="F3" s="2" t="n"/>
      <c r="G3" s="4" t="n"/>
      <c r="H3" s="2" t="n"/>
      <c r="I3" s="2" t="n"/>
      <c r="J3" s="2">
        <f>IF(C3="","",IF(LEN(C3)&lt;&gt;13,"Nema 13 cifara (ima "&amp;LEN(C3)&amp;")",IF(L3="","JMBG sadrži nešto što nije cifra",IF(N3="","Nepostojeći datum rođenja",IF(VALUE(MID(C3,13,1))&lt;&gt;L3,"Pogrešna kontrolna cifra - treba "&amp;L3,"✓ ispravan")))))</f>
        <v/>
      </c>
      <c r="K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L3">
        <f>IF(K3="","",IF(11-MOD(K3,11)&gt;9,0,11-MOD(K3,11)))</f>
        <v/>
      </c>
      <c r="M3">
        <f>IFERROR(IF(LEN(C3)&lt;&gt;13,"",IF(VALUE(MID(C3,5,3))&gt;=800,1000,2000)+VALUE(MID(C3,5,3))),"")</f>
        <v/>
      </c>
      <c r="N3">
        <f>IFERROR(IF(M3="","",IF(AND(DAY(DATE(M3,VALUE(MID(C3,3,2)),VALUE(MID(C3,1,2))))=VALUE(MID(C3,1,2)),MONTH(DATE(M3,VALUE(MID(C3,3,2)),VALUE(MID(C3,1,2))))=VALUE(MID(C3,3,2))),DATE(M3,VALUE(MID(C3,3,2)),VALUE(MID(C3,1,2))),"")),"")</f>
        <v/>
      </c>
    </row>
    <row r="4">
      <c r="A4" s="2" t="n"/>
      <c r="B4" s="2" t="n"/>
      <c r="C4" s="3" t="n"/>
      <c r="D4" s="2" t="n"/>
      <c r="E4" s="4">
        <f>IF(A4="","",5)</f>
        <v/>
      </c>
      <c r="F4" s="2" t="n"/>
      <c r="G4" s="4" t="n"/>
      <c r="H4" s="2" t="n"/>
      <c r="I4" s="2" t="n"/>
      <c r="J4" s="2">
        <f>IF(C4="","",IF(LEN(C4)&lt;&gt;13,"Nema 13 cifara (ima "&amp;LEN(C4)&amp;")",IF(L4="","JMBG sadrži nešto što nije cifra",IF(N4="","Nepostojeći datum rođenja",IF(VALUE(MID(C4,13,1))&lt;&gt;L4,"Pogrešna kontrolna cifra - treba "&amp;L4,"✓ ispravan")))))</f>
        <v/>
      </c>
      <c r="K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L4">
        <f>IF(K4="","",IF(11-MOD(K4,11)&gt;9,0,11-MOD(K4,11)))</f>
        <v/>
      </c>
      <c r="M4">
        <f>IFERROR(IF(LEN(C4)&lt;&gt;13,"",IF(VALUE(MID(C4,5,3))&gt;=800,1000,2000)+VALUE(MID(C4,5,3))),"")</f>
        <v/>
      </c>
      <c r="N4">
        <f>IFERROR(IF(M4="","",IF(AND(DAY(DATE(M4,VALUE(MID(C4,3,2)),VALUE(MID(C4,1,2))))=VALUE(MID(C4,1,2)),MONTH(DATE(M4,VALUE(MID(C4,3,2)),VALUE(MID(C4,1,2))))=VALUE(MID(C4,3,2))),DATE(M4,VALUE(MID(C4,3,2)),VALUE(MID(C4,1,2))),"")),"")</f>
        <v/>
      </c>
    </row>
    <row r="5">
      <c r="A5" s="2" t="n"/>
      <c r="B5" s="2" t="n"/>
      <c r="C5" s="3" t="n"/>
      <c r="D5" s="2" t="n"/>
      <c r="E5" s="4">
        <f>IF(A5="","",5)</f>
        <v/>
      </c>
      <c r="F5" s="2" t="n"/>
      <c r="G5" s="4" t="n"/>
      <c r="H5" s="2" t="n"/>
      <c r="I5" s="2" t="n"/>
      <c r="J5" s="2">
        <f>IF(C5="","",IF(LEN(C5)&lt;&gt;13,"Nema 13 cifara (ima "&amp;LEN(C5)&amp;")",IF(L5="","JMBG sadrži nešto što nije cifra",IF(N5="","Nepostojeći datum rođenja",IF(VALUE(MID(C5,13,1))&lt;&gt;L5,"Pogrešna kontrolna cifra - treba "&amp;L5,"✓ ispravan")))))</f>
        <v/>
      </c>
      <c r="K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L5">
        <f>IF(K5="","",IF(11-MOD(K5,11)&gt;9,0,11-MOD(K5,11)))</f>
        <v/>
      </c>
      <c r="M5">
        <f>IFERROR(IF(LEN(C5)&lt;&gt;13,"",IF(VALUE(MID(C5,5,3))&gt;=800,1000,2000)+VALUE(MID(C5,5,3))),"")</f>
        <v/>
      </c>
      <c r="N5">
        <f>IFERROR(IF(M5="","",IF(AND(DAY(DATE(M5,VALUE(MID(C5,3,2)),VALUE(MID(C5,1,2))))=VALUE(MID(C5,1,2)),MONTH(DATE(M5,VALUE(MID(C5,3,2)),VALUE(MID(C5,1,2))))=VALUE(MID(C5,3,2))),DATE(M5,VALUE(MID(C5,3,2)),VALUE(MID(C5,1,2))),"")),"")</f>
        <v/>
      </c>
    </row>
    <row r="6">
      <c r="A6" s="2" t="n"/>
      <c r="B6" s="2" t="n"/>
      <c r="C6" s="3" t="n"/>
      <c r="D6" s="2" t="n"/>
      <c r="E6" s="4">
        <f>IF(A6="","",5)</f>
        <v/>
      </c>
      <c r="F6" s="2" t="n"/>
      <c r="G6" s="4" t="n"/>
      <c r="H6" s="2" t="n"/>
      <c r="I6" s="2" t="n"/>
      <c r="J6" s="2">
        <f>IF(C6="","",IF(LEN(C6)&lt;&gt;13,"Nema 13 cifara (ima "&amp;LEN(C6)&amp;")",IF(L6="","JMBG sadrži nešto što nije cifra",IF(N6="","Nepostojeći datum rođenja",IF(VALUE(MID(C6,13,1))&lt;&gt;L6,"Pogrešna kontrolna cifra - treba "&amp;L6,"✓ ispravan")))))</f>
        <v/>
      </c>
      <c r="K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L6">
        <f>IF(K6="","",IF(11-MOD(K6,11)&gt;9,0,11-MOD(K6,11)))</f>
        <v/>
      </c>
      <c r="M6">
        <f>IFERROR(IF(LEN(C6)&lt;&gt;13,"",IF(VALUE(MID(C6,5,3))&gt;=800,1000,2000)+VALUE(MID(C6,5,3))),"")</f>
        <v/>
      </c>
      <c r="N6">
        <f>IFERROR(IF(M6="","",IF(AND(DAY(DATE(M6,VALUE(MID(C6,3,2)),VALUE(MID(C6,1,2))))=VALUE(MID(C6,1,2)),MONTH(DATE(M6,VALUE(MID(C6,3,2)),VALUE(MID(C6,1,2))))=VALUE(MID(C6,3,2))),DATE(M6,VALUE(MID(C6,3,2)),VALUE(MID(C6,1,2))),"")),"")</f>
        <v/>
      </c>
    </row>
    <row r="7">
      <c r="A7" s="2" t="n"/>
      <c r="B7" s="2" t="n"/>
      <c r="C7" s="3" t="n"/>
      <c r="D7" s="2" t="n"/>
      <c r="E7" s="4">
        <f>IF(A7="","",5)</f>
        <v/>
      </c>
      <c r="F7" s="2" t="n"/>
      <c r="G7" s="4" t="n"/>
      <c r="H7" s="2" t="n"/>
      <c r="I7" s="2" t="n"/>
      <c r="J7" s="2">
        <f>IF(C7="","",IF(LEN(C7)&lt;&gt;13,"Nema 13 cifara (ima "&amp;LEN(C7)&amp;")",IF(L7="","JMBG sadrži nešto što nije cifra",IF(N7="","Nepostojeći datum rođenja",IF(VALUE(MID(C7,13,1))&lt;&gt;L7,"Pogrešna kontrolna cifra - treba "&amp;L7,"✓ ispravan")))))</f>
        <v/>
      </c>
      <c r="K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L7">
        <f>IF(K7="","",IF(11-MOD(K7,11)&gt;9,0,11-MOD(K7,11)))</f>
        <v/>
      </c>
      <c r="M7">
        <f>IFERROR(IF(LEN(C7)&lt;&gt;13,"",IF(VALUE(MID(C7,5,3))&gt;=800,1000,2000)+VALUE(MID(C7,5,3))),"")</f>
        <v/>
      </c>
      <c r="N7">
        <f>IFERROR(IF(M7="","",IF(AND(DAY(DATE(M7,VALUE(MID(C7,3,2)),VALUE(MID(C7,1,2))))=VALUE(MID(C7,1,2)),MONTH(DATE(M7,VALUE(MID(C7,3,2)),VALUE(MID(C7,1,2))))=VALUE(MID(C7,3,2))),DATE(M7,VALUE(MID(C7,3,2)),VALUE(MID(C7,1,2))),"")),"")</f>
        <v/>
      </c>
    </row>
    <row r="8">
      <c r="A8" s="2" t="n"/>
      <c r="B8" s="2" t="n"/>
      <c r="C8" s="3" t="n"/>
      <c r="D8" s="2" t="n"/>
      <c r="E8" s="4">
        <f>IF(A8="","",5)</f>
        <v/>
      </c>
      <c r="F8" s="2" t="n"/>
      <c r="G8" s="4" t="n"/>
      <c r="H8" s="2" t="n"/>
      <c r="I8" s="2" t="n"/>
      <c r="J8" s="2">
        <f>IF(C8="","",IF(LEN(C8)&lt;&gt;13,"Nema 13 cifara (ima "&amp;LEN(C8)&amp;")",IF(L8="","JMBG sadrži nešto što nije cifra",IF(N8="","Nepostojeći datum rođenja",IF(VALUE(MID(C8,13,1))&lt;&gt;L8,"Pogrešna kontrolna cifra - treba "&amp;L8,"✓ ispravan")))))</f>
        <v/>
      </c>
      <c r="K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L8">
        <f>IF(K8="","",IF(11-MOD(K8,11)&gt;9,0,11-MOD(K8,11)))</f>
        <v/>
      </c>
      <c r="M8">
        <f>IFERROR(IF(LEN(C8)&lt;&gt;13,"",IF(VALUE(MID(C8,5,3))&gt;=800,1000,2000)+VALUE(MID(C8,5,3))),"")</f>
        <v/>
      </c>
      <c r="N8">
        <f>IFERROR(IF(M8="","",IF(AND(DAY(DATE(M8,VALUE(MID(C8,3,2)),VALUE(MID(C8,1,2))))=VALUE(MID(C8,1,2)),MONTH(DATE(M8,VALUE(MID(C8,3,2)),VALUE(MID(C8,1,2))))=VALUE(MID(C8,3,2))),DATE(M8,VALUE(MID(C8,3,2)),VALUE(MID(C8,1,2))),"")),"")</f>
        <v/>
      </c>
    </row>
    <row r="9">
      <c r="A9" s="2" t="n"/>
      <c r="B9" s="2" t="n"/>
      <c r="C9" s="3" t="n"/>
      <c r="D9" s="2" t="n"/>
      <c r="E9" s="4">
        <f>IF(A9="","",5)</f>
        <v/>
      </c>
      <c r="F9" s="2" t="n"/>
      <c r="G9" s="4" t="n"/>
      <c r="H9" s="2" t="n"/>
      <c r="I9" s="2" t="n"/>
      <c r="J9" s="2">
        <f>IF(C9="","",IF(LEN(C9)&lt;&gt;13,"Nema 13 cifara (ima "&amp;LEN(C9)&amp;")",IF(L9="","JMBG sadrži nešto što nije cifra",IF(N9="","Nepostojeći datum rođenja",IF(VALUE(MID(C9,13,1))&lt;&gt;L9,"Pogrešna kontrolna cifra - treba "&amp;L9,"✓ ispravan")))))</f>
        <v/>
      </c>
      <c r="K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L9">
        <f>IF(K9="","",IF(11-MOD(K9,11)&gt;9,0,11-MOD(K9,11)))</f>
        <v/>
      </c>
      <c r="M9">
        <f>IFERROR(IF(LEN(C9)&lt;&gt;13,"",IF(VALUE(MID(C9,5,3))&gt;=800,1000,2000)+VALUE(MID(C9,5,3))),"")</f>
        <v/>
      </c>
      <c r="N9">
        <f>IFERROR(IF(M9="","",IF(AND(DAY(DATE(M9,VALUE(MID(C9,3,2)),VALUE(MID(C9,1,2))))=VALUE(MID(C9,1,2)),MONTH(DATE(M9,VALUE(MID(C9,3,2)),VALUE(MID(C9,1,2))))=VALUE(MID(C9,3,2))),DATE(M9,VALUE(MID(C9,3,2)),VALUE(MID(C9,1,2))),"")),"")</f>
        <v/>
      </c>
    </row>
    <row r="10">
      <c r="A10" s="2" t="n"/>
      <c r="B10" s="2" t="n"/>
      <c r="C10" s="3" t="n"/>
      <c r="D10" s="2" t="n"/>
      <c r="E10" s="4">
        <f>IF(A10="","",5)</f>
        <v/>
      </c>
      <c r="F10" s="2" t="n"/>
      <c r="G10" s="4" t="n"/>
      <c r="H10" s="2" t="n"/>
      <c r="I10" s="2" t="n"/>
      <c r="J10" s="2">
        <f>IF(C10="","",IF(LEN(C10)&lt;&gt;13,"Nema 13 cifara (ima "&amp;LEN(C10)&amp;")",IF(L10="","JMBG sadrži nešto što nije cifra",IF(N10="","Nepostojeći datum rođenja",IF(VALUE(MID(C10,13,1))&lt;&gt;L10,"Pogrešna kontrolna cifra - treba "&amp;L10,"✓ ispravan")))))</f>
        <v/>
      </c>
      <c r="K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L10">
        <f>IF(K10="","",IF(11-MOD(K10,11)&gt;9,0,11-MOD(K10,11)))</f>
        <v/>
      </c>
      <c r="M10">
        <f>IFERROR(IF(LEN(C10)&lt;&gt;13,"",IF(VALUE(MID(C10,5,3))&gt;=800,1000,2000)+VALUE(MID(C10,5,3))),"")</f>
        <v/>
      </c>
      <c r="N10">
        <f>IFERROR(IF(M10="","",IF(AND(DAY(DATE(M10,VALUE(MID(C10,3,2)),VALUE(MID(C10,1,2))))=VALUE(MID(C10,1,2)),MONTH(DATE(M10,VALUE(MID(C10,3,2)),VALUE(MID(C10,1,2))))=VALUE(MID(C10,3,2))),DATE(M10,VALUE(MID(C10,3,2)),VALUE(MID(C10,1,2))),"")),"")</f>
        <v/>
      </c>
    </row>
    <row r="11">
      <c r="A11" s="2" t="n"/>
      <c r="B11" s="2" t="n"/>
      <c r="C11" s="3" t="n"/>
      <c r="D11" s="2" t="n"/>
      <c r="E11" s="4">
        <f>IF(A11="","",5)</f>
        <v/>
      </c>
      <c r="F11" s="2" t="n"/>
      <c r="G11" s="4" t="n"/>
      <c r="H11" s="2" t="n"/>
      <c r="I11" s="2" t="n"/>
      <c r="J11" s="2">
        <f>IF(C11="","",IF(LEN(C11)&lt;&gt;13,"Nema 13 cifara (ima "&amp;LEN(C11)&amp;")",IF(L11="","JMBG sadrži nešto što nije cifra",IF(N11="","Nepostojeći datum rođenja",IF(VALUE(MID(C11,13,1))&lt;&gt;L11,"Pogrešna kontrolna cifra - treba "&amp;L11,"✓ ispravan")))))</f>
        <v/>
      </c>
      <c r="K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L11">
        <f>IF(K11="","",IF(11-MOD(K11,11)&gt;9,0,11-MOD(K11,11)))</f>
        <v/>
      </c>
      <c r="M11">
        <f>IFERROR(IF(LEN(C11)&lt;&gt;13,"",IF(VALUE(MID(C11,5,3))&gt;=800,1000,2000)+VALUE(MID(C11,5,3))),"")</f>
        <v/>
      </c>
      <c r="N11">
        <f>IFERROR(IF(M11="","",IF(AND(DAY(DATE(M11,VALUE(MID(C11,3,2)),VALUE(MID(C11,1,2))))=VALUE(MID(C11,1,2)),MONTH(DATE(M11,VALUE(MID(C11,3,2)),VALUE(MID(C11,1,2))))=VALUE(MID(C11,3,2))),DATE(M11,VALUE(MID(C11,3,2)),VALUE(MID(C11,1,2))),"")),"")</f>
        <v/>
      </c>
    </row>
    <row r="12">
      <c r="A12" s="2" t="n"/>
      <c r="B12" s="2" t="n"/>
      <c r="C12" s="3" t="n"/>
      <c r="D12" s="2" t="n"/>
      <c r="E12" s="4">
        <f>IF(A12="","",5)</f>
        <v/>
      </c>
      <c r="F12" s="2" t="n"/>
      <c r="G12" s="4" t="n"/>
      <c r="H12" s="2" t="n"/>
      <c r="I12" s="2" t="n"/>
      <c r="J12" s="2">
        <f>IF(C12="","",IF(LEN(C12)&lt;&gt;13,"Nema 13 cifara (ima "&amp;LEN(C12)&amp;")",IF(L12="","JMBG sadrži nešto što nije cifra",IF(N12="","Nepostojeći datum rođenja",IF(VALUE(MID(C12,13,1))&lt;&gt;L12,"Pogrešna kontrolna cifra - treba "&amp;L12,"✓ ispravan")))))</f>
        <v/>
      </c>
      <c r="K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L12">
        <f>IF(K12="","",IF(11-MOD(K12,11)&gt;9,0,11-MOD(K12,11)))</f>
        <v/>
      </c>
      <c r="M12">
        <f>IFERROR(IF(LEN(C12)&lt;&gt;13,"",IF(VALUE(MID(C12,5,3))&gt;=800,1000,2000)+VALUE(MID(C12,5,3))),"")</f>
        <v/>
      </c>
      <c r="N12">
        <f>IFERROR(IF(M12="","",IF(AND(DAY(DATE(M12,VALUE(MID(C12,3,2)),VALUE(MID(C12,1,2))))=VALUE(MID(C12,1,2)),MONTH(DATE(M12,VALUE(MID(C12,3,2)),VALUE(MID(C12,1,2))))=VALUE(MID(C12,3,2))),DATE(M12,VALUE(MID(C12,3,2)),VALUE(MID(C12,1,2))),"")),"")</f>
        <v/>
      </c>
    </row>
    <row r="13">
      <c r="A13" s="2" t="n"/>
      <c r="B13" s="2" t="n"/>
      <c r="C13" s="3" t="n"/>
      <c r="D13" s="2" t="n"/>
      <c r="E13" s="4">
        <f>IF(A13="","",5)</f>
        <v/>
      </c>
      <c r="F13" s="2" t="n"/>
      <c r="G13" s="4" t="n"/>
      <c r="H13" s="2" t="n"/>
      <c r="I13" s="2" t="n"/>
      <c r="J13" s="2">
        <f>IF(C13="","",IF(LEN(C13)&lt;&gt;13,"Nema 13 cifara (ima "&amp;LEN(C13)&amp;")",IF(L13="","JMBG sadrži nešto što nije cifra",IF(N13="","Nepostojeći datum rođenja",IF(VALUE(MID(C13,13,1))&lt;&gt;L13,"Pogrešna kontrolna cifra - treba "&amp;L13,"✓ ispravan")))))</f>
        <v/>
      </c>
      <c r="K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L13">
        <f>IF(K13="","",IF(11-MOD(K13,11)&gt;9,0,11-MOD(K13,11)))</f>
        <v/>
      </c>
      <c r="M13">
        <f>IFERROR(IF(LEN(C13)&lt;&gt;13,"",IF(VALUE(MID(C13,5,3))&gt;=800,1000,2000)+VALUE(MID(C13,5,3))),"")</f>
        <v/>
      </c>
      <c r="N13">
        <f>IFERROR(IF(M13="","",IF(AND(DAY(DATE(M13,VALUE(MID(C13,3,2)),VALUE(MID(C13,1,2))))=VALUE(MID(C13,1,2)),MONTH(DATE(M13,VALUE(MID(C13,3,2)),VALUE(MID(C13,1,2))))=VALUE(MID(C13,3,2))),DATE(M13,VALUE(MID(C13,3,2)),VALUE(MID(C13,1,2))),"")),"")</f>
        <v/>
      </c>
    </row>
    <row r="14">
      <c r="A14" s="2" t="n"/>
      <c r="B14" s="2" t="n"/>
      <c r="C14" s="3" t="n"/>
      <c r="D14" s="2" t="n"/>
      <c r="E14" s="4">
        <f>IF(A14="","",5)</f>
        <v/>
      </c>
      <c r="F14" s="2" t="n"/>
      <c r="G14" s="4" t="n"/>
      <c r="H14" s="2" t="n"/>
      <c r="I14" s="2" t="n"/>
      <c r="J14" s="2">
        <f>IF(C14="","",IF(LEN(C14)&lt;&gt;13,"Nema 13 cifara (ima "&amp;LEN(C14)&amp;")",IF(L14="","JMBG sadrži nešto što nije cifra",IF(N14="","Nepostojeći datum rođenja",IF(VALUE(MID(C14,13,1))&lt;&gt;L14,"Pogrešna kontrolna cifra - treba "&amp;L14,"✓ ispravan")))))</f>
        <v/>
      </c>
      <c r="K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L14">
        <f>IF(K14="","",IF(11-MOD(K14,11)&gt;9,0,11-MOD(K14,11)))</f>
        <v/>
      </c>
      <c r="M14">
        <f>IFERROR(IF(LEN(C14)&lt;&gt;13,"",IF(VALUE(MID(C14,5,3))&gt;=800,1000,2000)+VALUE(MID(C14,5,3))),"")</f>
        <v/>
      </c>
      <c r="N14">
        <f>IFERROR(IF(M14="","",IF(AND(DAY(DATE(M14,VALUE(MID(C14,3,2)),VALUE(MID(C14,1,2))))=VALUE(MID(C14,1,2)),MONTH(DATE(M14,VALUE(MID(C14,3,2)),VALUE(MID(C14,1,2))))=VALUE(MID(C14,3,2))),DATE(M14,VALUE(MID(C14,3,2)),VALUE(MID(C14,1,2))),"")),"")</f>
        <v/>
      </c>
    </row>
    <row r="15">
      <c r="A15" s="2" t="n"/>
      <c r="B15" s="2" t="n"/>
      <c r="C15" s="3" t="n"/>
      <c r="D15" s="2" t="n"/>
      <c r="E15" s="4">
        <f>IF(A15="","",5)</f>
        <v/>
      </c>
      <c r="F15" s="2" t="n"/>
      <c r="G15" s="4" t="n"/>
      <c r="H15" s="2" t="n"/>
      <c r="I15" s="2" t="n"/>
      <c r="J15" s="2">
        <f>IF(C15="","",IF(LEN(C15)&lt;&gt;13,"Nema 13 cifara (ima "&amp;LEN(C15)&amp;")",IF(L15="","JMBG sadrži nešto što nije cifra",IF(N15="","Nepostojeći datum rođenja",IF(VALUE(MID(C15,13,1))&lt;&gt;L15,"Pogrešna kontrolna cifra - treba "&amp;L15,"✓ ispravan")))))</f>
        <v/>
      </c>
      <c r="K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L15">
        <f>IF(K15="","",IF(11-MOD(K15,11)&gt;9,0,11-MOD(K15,11)))</f>
        <v/>
      </c>
      <c r="M15">
        <f>IFERROR(IF(LEN(C15)&lt;&gt;13,"",IF(VALUE(MID(C15,5,3))&gt;=800,1000,2000)+VALUE(MID(C15,5,3))),"")</f>
        <v/>
      </c>
      <c r="N15">
        <f>IFERROR(IF(M15="","",IF(AND(DAY(DATE(M15,VALUE(MID(C15,3,2)),VALUE(MID(C15,1,2))))=VALUE(MID(C15,1,2)),MONTH(DATE(M15,VALUE(MID(C15,3,2)),VALUE(MID(C15,1,2))))=VALUE(MID(C15,3,2))),DATE(M15,VALUE(MID(C15,3,2)),VALUE(MID(C15,1,2))),"")),"")</f>
        <v/>
      </c>
    </row>
    <row r="16">
      <c r="A16" s="2" t="n"/>
      <c r="B16" s="2" t="n"/>
      <c r="C16" s="3" t="n"/>
      <c r="D16" s="2" t="n"/>
      <c r="E16" s="4">
        <f>IF(A16="","",5)</f>
        <v/>
      </c>
      <c r="F16" s="2" t="n"/>
      <c r="G16" s="4" t="n"/>
      <c r="H16" s="2" t="n"/>
      <c r="I16" s="2" t="n"/>
      <c r="J16" s="2">
        <f>IF(C16="","",IF(LEN(C16)&lt;&gt;13,"Nema 13 cifara (ima "&amp;LEN(C16)&amp;")",IF(L16="","JMBG sadrži nešto što nije cifra",IF(N16="","Nepostojeći datum rođenja",IF(VALUE(MID(C16,13,1))&lt;&gt;L16,"Pogrešna kontrolna cifra - treba "&amp;L16,"✓ ispravan")))))</f>
        <v/>
      </c>
      <c r="K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L16">
        <f>IF(K16="","",IF(11-MOD(K16,11)&gt;9,0,11-MOD(K16,11)))</f>
        <v/>
      </c>
      <c r="M16">
        <f>IFERROR(IF(LEN(C16)&lt;&gt;13,"",IF(VALUE(MID(C16,5,3))&gt;=800,1000,2000)+VALUE(MID(C16,5,3))),"")</f>
        <v/>
      </c>
      <c r="N16">
        <f>IFERROR(IF(M16="","",IF(AND(DAY(DATE(M16,VALUE(MID(C16,3,2)),VALUE(MID(C16,1,2))))=VALUE(MID(C16,1,2)),MONTH(DATE(M16,VALUE(MID(C16,3,2)),VALUE(MID(C16,1,2))))=VALUE(MID(C16,3,2))),DATE(M16,VALUE(MID(C16,3,2)),VALUE(MID(C16,1,2))),"")),"")</f>
        <v/>
      </c>
    </row>
    <row r="17">
      <c r="A17" s="2" t="n"/>
      <c r="B17" s="2" t="n"/>
      <c r="C17" s="3" t="n"/>
      <c r="D17" s="2" t="n"/>
      <c r="E17" s="4">
        <f>IF(A17="","",5)</f>
        <v/>
      </c>
      <c r="F17" s="2" t="n"/>
      <c r="G17" s="4" t="n"/>
      <c r="H17" s="2" t="n"/>
      <c r="I17" s="2" t="n"/>
      <c r="J17" s="2">
        <f>IF(C17="","",IF(LEN(C17)&lt;&gt;13,"Nema 13 cifara (ima "&amp;LEN(C17)&amp;")",IF(L17="","JMBG sadrži nešto što nije cifra",IF(N17="","Nepostojeći datum rođenja",IF(VALUE(MID(C17,13,1))&lt;&gt;L17,"Pogrešna kontrolna cifra - treba "&amp;L17,"✓ ispravan")))))</f>
        <v/>
      </c>
      <c r="K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L17">
        <f>IF(K17="","",IF(11-MOD(K17,11)&gt;9,0,11-MOD(K17,11)))</f>
        <v/>
      </c>
      <c r="M17">
        <f>IFERROR(IF(LEN(C17)&lt;&gt;13,"",IF(VALUE(MID(C17,5,3))&gt;=800,1000,2000)+VALUE(MID(C17,5,3))),"")</f>
        <v/>
      </c>
      <c r="N17">
        <f>IFERROR(IF(M17="","",IF(AND(DAY(DATE(M17,VALUE(MID(C17,3,2)),VALUE(MID(C17,1,2))))=VALUE(MID(C17,1,2)),MONTH(DATE(M17,VALUE(MID(C17,3,2)),VALUE(MID(C17,1,2))))=VALUE(MID(C17,3,2))),DATE(M17,VALUE(MID(C17,3,2)),VALUE(MID(C17,1,2))),"")),"")</f>
        <v/>
      </c>
    </row>
    <row r="18">
      <c r="A18" s="2" t="n"/>
      <c r="B18" s="2" t="n"/>
      <c r="C18" s="3" t="n"/>
      <c r="D18" s="2" t="n"/>
      <c r="E18" s="4">
        <f>IF(A18="","",5)</f>
        <v/>
      </c>
      <c r="F18" s="2" t="n"/>
      <c r="G18" s="4" t="n"/>
      <c r="H18" s="2" t="n"/>
      <c r="I18" s="2" t="n"/>
      <c r="J18" s="2">
        <f>IF(C18="","",IF(LEN(C18)&lt;&gt;13,"Nema 13 cifara (ima "&amp;LEN(C18)&amp;")",IF(L18="","JMBG sadrži nešto što nije cifra",IF(N18="","Nepostojeći datum rođenja",IF(VALUE(MID(C18,13,1))&lt;&gt;L18,"Pogrešna kontrolna cifra - treba "&amp;L18,"✓ ispravan")))))</f>
        <v/>
      </c>
      <c r="K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L18">
        <f>IF(K18="","",IF(11-MOD(K18,11)&gt;9,0,11-MOD(K18,11)))</f>
        <v/>
      </c>
      <c r="M18">
        <f>IFERROR(IF(LEN(C18)&lt;&gt;13,"",IF(VALUE(MID(C18,5,3))&gt;=800,1000,2000)+VALUE(MID(C18,5,3))),"")</f>
        <v/>
      </c>
      <c r="N18">
        <f>IFERROR(IF(M18="","",IF(AND(DAY(DATE(M18,VALUE(MID(C18,3,2)),VALUE(MID(C18,1,2))))=VALUE(MID(C18,1,2)),MONTH(DATE(M18,VALUE(MID(C18,3,2)),VALUE(MID(C18,1,2))))=VALUE(MID(C18,3,2))),DATE(M18,VALUE(MID(C18,3,2)),VALUE(MID(C18,1,2))),"")),"")</f>
        <v/>
      </c>
    </row>
    <row r="19">
      <c r="A19" s="2" t="n"/>
      <c r="B19" s="2" t="n"/>
      <c r="C19" s="3" t="n"/>
      <c r="D19" s="2" t="n"/>
      <c r="E19" s="4">
        <f>IF(A19="","",5)</f>
        <v/>
      </c>
      <c r="F19" s="2" t="n"/>
      <c r="G19" s="4" t="n"/>
      <c r="H19" s="2" t="n"/>
      <c r="I19" s="2" t="n"/>
      <c r="J19" s="2">
        <f>IF(C19="","",IF(LEN(C19)&lt;&gt;13,"Nema 13 cifara (ima "&amp;LEN(C19)&amp;")",IF(L19="","JMBG sadrži nešto što nije cifra",IF(N19="","Nepostojeći datum rođenja",IF(VALUE(MID(C19,13,1))&lt;&gt;L19,"Pogrešna kontrolna cifra - treba "&amp;L19,"✓ ispravan")))))</f>
        <v/>
      </c>
      <c r="K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L19">
        <f>IF(K19="","",IF(11-MOD(K19,11)&gt;9,0,11-MOD(K19,11)))</f>
        <v/>
      </c>
      <c r="M19">
        <f>IFERROR(IF(LEN(C19)&lt;&gt;13,"",IF(VALUE(MID(C19,5,3))&gt;=800,1000,2000)+VALUE(MID(C19,5,3))),"")</f>
        <v/>
      </c>
      <c r="N19">
        <f>IFERROR(IF(M19="","",IF(AND(DAY(DATE(M19,VALUE(MID(C19,3,2)),VALUE(MID(C19,1,2))))=VALUE(MID(C19,1,2)),MONTH(DATE(M19,VALUE(MID(C19,3,2)),VALUE(MID(C19,1,2))))=VALUE(MID(C19,3,2))),DATE(M19,VALUE(MID(C19,3,2)),VALUE(MID(C19,1,2))),"")),"")</f>
        <v/>
      </c>
    </row>
    <row r="20">
      <c r="A20" s="2" t="n"/>
      <c r="B20" s="2" t="n"/>
      <c r="C20" s="3" t="n"/>
      <c r="D20" s="2" t="n"/>
      <c r="E20" s="4">
        <f>IF(A20="","",5)</f>
        <v/>
      </c>
      <c r="F20" s="2" t="n"/>
      <c r="G20" s="4" t="n"/>
      <c r="H20" s="2" t="n"/>
      <c r="I20" s="2" t="n"/>
      <c r="J20" s="2">
        <f>IF(C20="","",IF(LEN(C20)&lt;&gt;13,"Nema 13 cifara (ima "&amp;LEN(C20)&amp;")",IF(L20="","JMBG sadrži nešto što nije cifra",IF(N20="","Nepostojeći datum rođenja",IF(VALUE(MID(C20,13,1))&lt;&gt;L20,"Pogrešna kontrolna cifra - treba "&amp;L20,"✓ ispravan")))))</f>
        <v/>
      </c>
      <c r="K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L20">
        <f>IF(K20="","",IF(11-MOD(K20,11)&gt;9,0,11-MOD(K20,11)))</f>
        <v/>
      </c>
      <c r="M20">
        <f>IFERROR(IF(LEN(C20)&lt;&gt;13,"",IF(VALUE(MID(C20,5,3))&gt;=800,1000,2000)+VALUE(MID(C20,5,3))),"")</f>
        <v/>
      </c>
      <c r="N20">
        <f>IFERROR(IF(M20="","",IF(AND(DAY(DATE(M20,VALUE(MID(C20,3,2)),VALUE(MID(C20,1,2))))=VALUE(MID(C20,1,2)),MONTH(DATE(M20,VALUE(MID(C20,3,2)),VALUE(MID(C20,1,2))))=VALUE(MID(C20,3,2))),DATE(M20,VALUE(MID(C20,3,2)),VALUE(MID(C20,1,2))),"")),"")</f>
        <v/>
      </c>
    </row>
    <row r="21">
      <c r="A21" s="2" t="n"/>
      <c r="B21" s="2" t="n"/>
      <c r="C21" s="3" t="n"/>
      <c r="D21" s="2" t="n"/>
      <c r="E21" s="4">
        <f>IF(A21="","",5)</f>
        <v/>
      </c>
      <c r="F21" s="2" t="n"/>
      <c r="G21" s="4" t="n"/>
      <c r="H21" s="2" t="n"/>
      <c r="I21" s="2" t="n"/>
      <c r="J21" s="2">
        <f>IF(C21="","",IF(LEN(C21)&lt;&gt;13,"Nema 13 cifara (ima "&amp;LEN(C21)&amp;")",IF(L21="","JMBG sadrži nešto što nije cifra",IF(N21="","Nepostojeći datum rođenja",IF(VALUE(MID(C21,13,1))&lt;&gt;L21,"Pogrešna kontrolna cifra - treba "&amp;L21,"✓ ispravan")))))</f>
        <v/>
      </c>
      <c r="K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L21">
        <f>IF(K21="","",IF(11-MOD(K21,11)&gt;9,0,11-MOD(K21,11)))</f>
        <v/>
      </c>
      <c r="M21">
        <f>IFERROR(IF(LEN(C21)&lt;&gt;13,"",IF(VALUE(MID(C21,5,3))&gt;=800,1000,2000)+VALUE(MID(C21,5,3))),"")</f>
        <v/>
      </c>
      <c r="N21">
        <f>IFERROR(IF(M21="","",IF(AND(DAY(DATE(M21,VALUE(MID(C21,3,2)),VALUE(MID(C21,1,2))))=VALUE(MID(C21,1,2)),MONTH(DATE(M21,VALUE(MID(C21,3,2)),VALUE(MID(C21,1,2))))=VALUE(MID(C21,3,2))),DATE(M21,VALUE(MID(C21,3,2)),VALUE(MID(C21,1,2))),"")),"")</f>
        <v/>
      </c>
    </row>
    <row r="22">
      <c r="A22" s="2" t="n"/>
      <c r="B22" s="2" t="n"/>
      <c r="C22" s="3" t="n"/>
      <c r="D22" s="2" t="n"/>
      <c r="E22" s="4">
        <f>IF(A22="","",5)</f>
        <v/>
      </c>
      <c r="F22" s="2" t="n"/>
      <c r="G22" s="4" t="n"/>
      <c r="H22" s="2" t="n"/>
      <c r="I22" s="2" t="n"/>
      <c r="J22" s="2">
        <f>IF(C22="","",IF(LEN(C22)&lt;&gt;13,"Nema 13 cifara (ima "&amp;LEN(C22)&amp;")",IF(L22="","JMBG sadrži nešto što nije cifra",IF(N22="","Nepostojeći datum rođenja",IF(VALUE(MID(C22,13,1))&lt;&gt;L22,"Pogrešna kontrolna cifra - treba "&amp;L22,"✓ ispravan")))))</f>
        <v/>
      </c>
      <c r="K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L22">
        <f>IF(K22="","",IF(11-MOD(K22,11)&gt;9,0,11-MOD(K22,11)))</f>
        <v/>
      </c>
      <c r="M22">
        <f>IFERROR(IF(LEN(C22)&lt;&gt;13,"",IF(VALUE(MID(C22,5,3))&gt;=800,1000,2000)+VALUE(MID(C22,5,3))),"")</f>
        <v/>
      </c>
      <c r="N22">
        <f>IFERROR(IF(M22="","",IF(AND(DAY(DATE(M22,VALUE(MID(C22,3,2)),VALUE(MID(C22,1,2))))=VALUE(MID(C22,1,2)),MONTH(DATE(M22,VALUE(MID(C22,3,2)),VALUE(MID(C22,1,2))))=VALUE(MID(C22,3,2))),DATE(M22,VALUE(MID(C22,3,2)),VALUE(MID(C22,1,2))),"")),"")</f>
        <v/>
      </c>
    </row>
    <row r="23">
      <c r="A23" s="2" t="n"/>
      <c r="B23" s="2" t="n"/>
      <c r="C23" s="3" t="n"/>
      <c r="D23" s="2" t="n"/>
      <c r="E23" s="4">
        <f>IF(A23="","",5)</f>
        <v/>
      </c>
      <c r="F23" s="2" t="n"/>
      <c r="G23" s="4" t="n"/>
      <c r="H23" s="2" t="n"/>
      <c r="I23" s="2" t="n"/>
      <c r="J23" s="2">
        <f>IF(C23="","",IF(LEN(C23)&lt;&gt;13,"Nema 13 cifara (ima "&amp;LEN(C23)&amp;")",IF(L23="","JMBG sadrži nešto što nije cifra",IF(N23="","Nepostojeći datum rođenja",IF(VALUE(MID(C23,13,1))&lt;&gt;L23,"Pogrešna kontrolna cifra - treba "&amp;L23,"✓ ispravan")))))</f>
        <v/>
      </c>
      <c r="K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L23">
        <f>IF(K23="","",IF(11-MOD(K23,11)&gt;9,0,11-MOD(K23,11)))</f>
        <v/>
      </c>
      <c r="M23">
        <f>IFERROR(IF(LEN(C23)&lt;&gt;13,"",IF(VALUE(MID(C23,5,3))&gt;=800,1000,2000)+VALUE(MID(C23,5,3))),"")</f>
        <v/>
      </c>
      <c r="N23">
        <f>IFERROR(IF(M23="","",IF(AND(DAY(DATE(M23,VALUE(MID(C23,3,2)),VALUE(MID(C23,1,2))))=VALUE(MID(C23,1,2)),MONTH(DATE(M23,VALUE(MID(C23,3,2)),VALUE(MID(C23,1,2))))=VALUE(MID(C23,3,2))),DATE(M23,VALUE(MID(C23,3,2)),VALUE(MID(C23,1,2))),"")),"")</f>
        <v/>
      </c>
    </row>
    <row r="24">
      <c r="A24" s="2" t="n"/>
      <c r="B24" s="2" t="n"/>
      <c r="C24" s="3" t="n"/>
      <c r="D24" s="2" t="n"/>
      <c r="E24" s="4">
        <f>IF(A24="","",5)</f>
        <v/>
      </c>
      <c r="F24" s="2" t="n"/>
      <c r="G24" s="4" t="n"/>
      <c r="H24" s="2" t="n"/>
      <c r="I24" s="2" t="n"/>
      <c r="J24" s="2">
        <f>IF(C24="","",IF(LEN(C24)&lt;&gt;13,"Nema 13 cifara (ima "&amp;LEN(C24)&amp;")",IF(L24="","JMBG sadrži nešto što nije cifra",IF(N24="","Nepostojeći datum rođenja",IF(VALUE(MID(C24,13,1))&lt;&gt;L24,"Pogrešna kontrolna cifra - treba "&amp;L24,"✓ ispravan")))))</f>
        <v/>
      </c>
      <c r="K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L24">
        <f>IF(K24="","",IF(11-MOD(K24,11)&gt;9,0,11-MOD(K24,11)))</f>
        <v/>
      </c>
      <c r="M24">
        <f>IFERROR(IF(LEN(C24)&lt;&gt;13,"",IF(VALUE(MID(C24,5,3))&gt;=800,1000,2000)+VALUE(MID(C24,5,3))),"")</f>
        <v/>
      </c>
      <c r="N24">
        <f>IFERROR(IF(M24="","",IF(AND(DAY(DATE(M24,VALUE(MID(C24,3,2)),VALUE(MID(C24,1,2))))=VALUE(MID(C24,1,2)),MONTH(DATE(M24,VALUE(MID(C24,3,2)),VALUE(MID(C24,1,2))))=VALUE(MID(C24,3,2))),DATE(M24,VALUE(MID(C24,3,2)),VALUE(MID(C24,1,2))),"")),"")</f>
        <v/>
      </c>
    </row>
    <row r="25">
      <c r="A25" s="2" t="n"/>
      <c r="B25" s="2" t="n"/>
      <c r="C25" s="3" t="n"/>
      <c r="D25" s="2" t="n"/>
      <c r="E25" s="4">
        <f>IF(A25="","",5)</f>
        <v/>
      </c>
      <c r="F25" s="2" t="n"/>
      <c r="G25" s="4" t="n"/>
      <c r="H25" s="2" t="n"/>
      <c r="I25" s="2" t="n"/>
      <c r="J25" s="2">
        <f>IF(C25="","",IF(LEN(C25)&lt;&gt;13,"Nema 13 cifara (ima "&amp;LEN(C25)&amp;")",IF(L25="","JMBG sadrži nešto što nije cifra",IF(N25="","Nepostojeći datum rođenja",IF(VALUE(MID(C25,13,1))&lt;&gt;L25,"Pogrešna kontrolna cifra - treba "&amp;L25,"✓ ispravan")))))</f>
        <v/>
      </c>
      <c r="K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L25">
        <f>IF(K25="","",IF(11-MOD(K25,11)&gt;9,0,11-MOD(K25,11)))</f>
        <v/>
      </c>
      <c r="M25">
        <f>IFERROR(IF(LEN(C25)&lt;&gt;13,"",IF(VALUE(MID(C25,5,3))&gt;=800,1000,2000)+VALUE(MID(C25,5,3))),"")</f>
        <v/>
      </c>
      <c r="N25">
        <f>IFERROR(IF(M25="","",IF(AND(DAY(DATE(M25,VALUE(MID(C25,3,2)),VALUE(MID(C25,1,2))))=VALUE(MID(C25,1,2)),MONTH(DATE(M25,VALUE(MID(C25,3,2)),VALUE(MID(C25,1,2))))=VALUE(MID(C25,3,2))),DATE(M25,VALUE(MID(C25,3,2)),VALUE(MID(C25,1,2))),"")),"")</f>
        <v/>
      </c>
    </row>
    <row r="26">
      <c r="A26" s="2" t="n"/>
      <c r="B26" s="2" t="n"/>
      <c r="C26" s="3" t="n"/>
      <c r="D26" s="2" t="n"/>
      <c r="E26" s="4">
        <f>IF(A26="","",5)</f>
        <v/>
      </c>
      <c r="F26" s="2" t="n"/>
      <c r="G26" s="4" t="n"/>
      <c r="H26" s="2" t="n"/>
      <c r="I26" s="2" t="n"/>
      <c r="J26" s="2">
        <f>IF(C26="","",IF(LEN(C26)&lt;&gt;13,"Nema 13 cifara (ima "&amp;LEN(C26)&amp;")",IF(L26="","JMBG sadrži nešto što nije cifra",IF(N26="","Nepostojeći datum rođenja",IF(VALUE(MID(C26,13,1))&lt;&gt;L26,"Pogrešna kontrolna cifra - treba "&amp;L26,"✓ ispravan")))))</f>
        <v/>
      </c>
      <c r="K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L26">
        <f>IF(K26="","",IF(11-MOD(K26,11)&gt;9,0,11-MOD(K26,11)))</f>
        <v/>
      </c>
      <c r="M26">
        <f>IFERROR(IF(LEN(C26)&lt;&gt;13,"",IF(VALUE(MID(C26,5,3))&gt;=800,1000,2000)+VALUE(MID(C26,5,3))),"")</f>
        <v/>
      </c>
      <c r="N26">
        <f>IFERROR(IF(M26="","",IF(AND(DAY(DATE(M26,VALUE(MID(C26,3,2)),VALUE(MID(C26,1,2))))=VALUE(MID(C26,1,2)),MONTH(DATE(M26,VALUE(MID(C26,3,2)),VALUE(MID(C26,1,2))))=VALUE(MID(C26,3,2))),DATE(M26,VALUE(MID(C26,3,2)),VALUE(MID(C26,1,2))),"")),"")</f>
        <v/>
      </c>
    </row>
    <row r="27">
      <c r="A27" s="2" t="n"/>
      <c r="B27" s="2" t="n"/>
      <c r="C27" s="3" t="n"/>
      <c r="D27" s="2" t="n"/>
      <c r="E27" s="4">
        <f>IF(A27="","",5)</f>
        <v/>
      </c>
      <c r="F27" s="2" t="n"/>
      <c r="G27" s="4" t="n"/>
      <c r="H27" s="2" t="n"/>
      <c r="I27" s="2" t="n"/>
      <c r="J27" s="2">
        <f>IF(C27="","",IF(LEN(C27)&lt;&gt;13,"Nema 13 cifara (ima "&amp;LEN(C27)&amp;")",IF(L27="","JMBG sadrži nešto što nije cifra",IF(N27="","Nepostojeći datum rođenja",IF(VALUE(MID(C27,13,1))&lt;&gt;L27,"Pogrešna kontrolna cifra - treba "&amp;L27,"✓ ispravan")))))</f>
        <v/>
      </c>
      <c r="K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L27">
        <f>IF(K27="","",IF(11-MOD(K27,11)&gt;9,0,11-MOD(K27,11)))</f>
        <v/>
      </c>
      <c r="M27">
        <f>IFERROR(IF(LEN(C27)&lt;&gt;13,"",IF(VALUE(MID(C27,5,3))&gt;=800,1000,2000)+VALUE(MID(C27,5,3))),"")</f>
        <v/>
      </c>
      <c r="N27">
        <f>IFERROR(IF(M27="","",IF(AND(DAY(DATE(M27,VALUE(MID(C27,3,2)),VALUE(MID(C27,1,2))))=VALUE(MID(C27,1,2)),MONTH(DATE(M27,VALUE(MID(C27,3,2)),VALUE(MID(C27,1,2))))=VALUE(MID(C27,3,2))),DATE(M27,VALUE(MID(C27,3,2)),VALUE(MID(C27,1,2))),"")),"")</f>
        <v/>
      </c>
    </row>
    <row r="28">
      <c r="A28" s="2" t="n"/>
      <c r="B28" s="2" t="n"/>
      <c r="C28" s="3" t="n"/>
      <c r="D28" s="2" t="n"/>
      <c r="E28" s="4">
        <f>IF(A28="","",5)</f>
        <v/>
      </c>
      <c r="F28" s="2" t="n"/>
      <c r="G28" s="4" t="n"/>
      <c r="H28" s="2" t="n"/>
      <c r="I28" s="2" t="n"/>
      <c r="J28" s="2">
        <f>IF(C28="","",IF(LEN(C28)&lt;&gt;13,"Nema 13 cifara (ima "&amp;LEN(C28)&amp;")",IF(L28="","JMBG sadrži nešto što nije cifra",IF(N28="","Nepostojeći datum rođenja",IF(VALUE(MID(C28,13,1))&lt;&gt;L28,"Pogrešna kontrolna cifra - treba "&amp;L28,"✓ ispravan")))))</f>
        <v/>
      </c>
      <c r="K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L28">
        <f>IF(K28="","",IF(11-MOD(K28,11)&gt;9,0,11-MOD(K28,11)))</f>
        <v/>
      </c>
      <c r="M28">
        <f>IFERROR(IF(LEN(C28)&lt;&gt;13,"",IF(VALUE(MID(C28,5,3))&gt;=800,1000,2000)+VALUE(MID(C28,5,3))),"")</f>
        <v/>
      </c>
      <c r="N28">
        <f>IFERROR(IF(M28="","",IF(AND(DAY(DATE(M28,VALUE(MID(C28,3,2)),VALUE(MID(C28,1,2))))=VALUE(MID(C28,1,2)),MONTH(DATE(M28,VALUE(MID(C28,3,2)),VALUE(MID(C28,1,2))))=VALUE(MID(C28,3,2))),DATE(M28,VALUE(MID(C28,3,2)),VALUE(MID(C28,1,2))),"")),"")</f>
        <v/>
      </c>
    </row>
    <row r="29">
      <c r="A29" s="2" t="n"/>
      <c r="B29" s="2" t="n"/>
      <c r="C29" s="3" t="n"/>
      <c r="D29" s="2" t="n"/>
      <c r="E29" s="4">
        <f>IF(A29="","",5)</f>
        <v/>
      </c>
      <c r="F29" s="2" t="n"/>
      <c r="G29" s="4" t="n"/>
      <c r="H29" s="2" t="n"/>
      <c r="I29" s="2" t="n"/>
      <c r="J29" s="2">
        <f>IF(C29="","",IF(LEN(C29)&lt;&gt;13,"Nema 13 cifara (ima "&amp;LEN(C29)&amp;")",IF(L29="","JMBG sadrži nešto što nije cifra",IF(N29="","Nepostojeći datum rođenja",IF(VALUE(MID(C29,13,1))&lt;&gt;L29,"Pogrešna kontrolna cifra - treba "&amp;L29,"✓ ispravan")))))</f>
        <v/>
      </c>
      <c r="K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L29">
        <f>IF(K29="","",IF(11-MOD(K29,11)&gt;9,0,11-MOD(K29,11)))</f>
        <v/>
      </c>
      <c r="M29">
        <f>IFERROR(IF(LEN(C29)&lt;&gt;13,"",IF(VALUE(MID(C29,5,3))&gt;=800,1000,2000)+VALUE(MID(C29,5,3))),"")</f>
        <v/>
      </c>
      <c r="N29">
        <f>IFERROR(IF(M29="","",IF(AND(DAY(DATE(M29,VALUE(MID(C29,3,2)),VALUE(MID(C29,1,2))))=VALUE(MID(C29,1,2)),MONTH(DATE(M29,VALUE(MID(C29,3,2)),VALUE(MID(C29,1,2))))=VALUE(MID(C29,3,2))),DATE(M29,VALUE(MID(C29,3,2)),VALUE(MID(C29,1,2))),"")),"")</f>
        <v/>
      </c>
    </row>
    <row r="30">
      <c r="A30" s="2" t="n"/>
      <c r="B30" s="2" t="n"/>
      <c r="C30" s="3" t="n"/>
      <c r="D30" s="2" t="n"/>
      <c r="E30" s="4">
        <f>IF(A30="","",5)</f>
        <v/>
      </c>
      <c r="F30" s="2" t="n"/>
      <c r="G30" s="4" t="n"/>
      <c r="H30" s="2" t="n"/>
      <c r="I30" s="2" t="n"/>
      <c r="J30" s="2">
        <f>IF(C30="","",IF(LEN(C30)&lt;&gt;13,"Nema 13 cifara (ima "&amp;LEN(C30)&amp;")",IF(L30="","JMBG sadrži nešto što nije cifra",IF(N30="","Nepostojeći datum rođenja",IF(VALUE(MID(C30,13,1))&lt;&gt;L30,"Pogrešna kontrolna cifra - treba "&amp;L30,"✓ ispravan")))))</f>
        <v/>
      </c>
      <c r="K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L30">
        <f>IF(K30="","",IF(11-MOD(K30,11)&gt;9,0,11-MOD(K30,11)))</f>
        <v/>
      </c>
      <c r="M30">
        <f>IFERROR(IF(LEN(C30)&lt;&gt;13,"",IF(VALUE(MID(C30,5,3))&gt;=800,1000,2000)+VALUE(MID(C30,5,3))),"")</f>
        <v/>
      </c>
      <c r="N30">
        <f>IFERROR(IF(M30="","",IF(AND(DAY(DATE(M30,VALUE(MID(C30,3,2)),VALUE(MID(C30,1,2))))=VALUE(MID(C30,1,2)),MONTH(DATE(M30,VALUE(MID(C30,3,2)),VALUE(MID(C30,1,2))))=VALUE(MID(C30,3,2))),DATE(M30,VALUE(MID(C30,3,2)),VALUE(MID(C30,1,2))),"")),"")</f>
        <v/>
      </c>
    </row>
    <row r="31">
      <c r="A31" s="2" t="n"/>
      <c r="B31" s="2" t="n"/>
      <c r="C31" s="3" t="n"/>
      <c r="D31" s="2" t="n"/>
      <c r="E31" s="4">
        <f>IF(A31="","",5)</f>
        <v/>
      </c>
      <c r="F31" s="2" t="n"/>
      <c r="G31" s="4" t="n"/>
      <c r="H31" s="2" t="n"/>
      <c r="I31" s="2" t="n"/>
      <c r="J31" s="2">
        <f>IF(C31="","",IF(LEN(C31)&lt;&gt;13,"Nema 13 cifara (ima "&amp;LEN(C31)&amp;")",IF(L31="","JMBG sadrži nešto što nije cifra",IF(N31="","Nepostojeći datum rođenja",IF(VALUE(MID(C31,13,1))&lt;&gt;L31,"Pogrešna kontrolna cifra - treba "&amp;L31,"✓ ispravan")))))</f>
        <v/>
      </c>
      <c r="K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L31">
        <f>IF(K31="","",IF(11-MOD(K31,11)&gt;9,0,11-MOD(K31,11)))</f>
        <v/>
      </c>
      <c r="M31">
        <f>IFERROR(IF(LEN(C31)&lt;&gt;13,"",IF(VALUE(MID(C31,5,3))&gt;=800,1000,2000)+VALUE(MID(C31,5,3))),"")</f>
        <v/>
      </c>
      <c r="N31">
        <f>IFERROR(IF(M31="","",IF(AND(DAY(DATE(M31,VALUE(MID(C31,3,2)),VALUE(MID(C31,1,2))))=VALUE(MID(C31,1,2)),MONTH(DATE(M31,VALUE(MID(C31,3,2)),VALUE(MID(C31,1,2))))=VALUE(MID(C31,3,2))),DATE(M31,VALUE(MID(C31,3,2)),VALUE(MID(C31,1,2))),"")),"")</f>
        <v/>
      </c>
    </row>
    <row r="32">
      <c r="A32" s="2" t="n"/>
      <c r="B32" s="2" t="n"/>
      <c r="C32" s="3" t="n"/>
      <c r="D32" s="2" t="n"/>
      <c r="E32" s="4">
        <f>IF(A32="","",5)</f>
        <v/>
      </c>
      <c r="F32" s="2" t="n"/>
      <c r="G32" s="4" t="n"/>
      <c r="H32" s="2" t="n"/>
      <c r="I32" s="2" t="n"/>
      <c r="J32" s="2">
        <f>IF(C32="","",IF(LEN(C32)&lt;&gt;13,"Nema 13 cifara (ima "&amp;LEN(C32)&amp;")",IF(L32="","JMBG sadrži nešto što nije cifra",IF(N32="","Nepostojeći datum rođenja",IF(VALUE(MID(C32,13,1))&lt;&gt;L32,"Pogrešna kontrolna cifra - treba "&amp;L32,"✓ ispravan")))))</f>
        <v/>
      </c>
      <c r="K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L32">
        <f>IF(K32="","",IF(11-MOD(K32,11)&gt;9,0,11-MOD(K32,11)))</f>
        <v/>
      </c>
      <c r="M32">
        <f>IFERROR(IF(LEN(C32)&lt;&gt;13,"",IF(VALUE(MID(C32,5,3))&gt;=800,1000,2000)+VALUE(MID(C32,5,3))),"")</f>
        <v/>
      </c>
      <c r="N32">
        <f>IFERROR(IF(M32="","",IF(AND(DAY(DATE(M32,VALUE(MID(C32,3,2)),VALUE(MID(C32,1,2))))=VALUE(MID(C32,1,2)),MONTH(DATE(M32,VALUE(MID(C32,3,2)),VALUE(MID(C32,1,2))))=VALUE(MID(C32,3,2))),DATE(M32,VALUE(MID(C32,3,2)),VALUE(MID(C32,1,2))),"")),"")</f>
        <v/>
      </c>
    </row>
    <row r="33">
      <c r="A33" s="2" t="n"/>
      <c r="B33" s="2" t="n"/>
      <c r="C33" s="3" t="n"/>
      <c r="D33" s="2" t="n"/>
      <c r="E33" s="4">
        <f>IF(A33="","",5)</f>
        <v/>
      </c>
      <c r="F33" s="2" t="n"/>
      <c r="G33" s="4" t="n"/>
      <c r="H33" s="2" t="n"/>
      <c r="I33" s="2" t="n"/>
      <c r="J33" s="2">
        <f>IF(C33="","",IF(LEN(C33)&lt;&gt;13,"Nema 13 cifara (ima "&amp;LEN(C33)&amp;")",IF(L33="","JMBG sadrži nešto što nije cifra",IF(N33="","Nepostojeći datum rođenja",IF(VALUE(MID(C33,13,1))&lt;&gt;L33,"Pogrešna kontrolna cifra - treba "&amp;L33,"✓ ispravan")))))</f>
        <v/>
      </c>
      <c r="K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L33">
        <f>IF(K33="","",IF(11-MOD(K33,11)&gt;9,0,11-MOD(K33,11)))</f>
        <v/>
      </c>
      <c r="M33">
        <f>IFERROR(IF(LEN(C33)&lt;&gt;13,"",IF(VALUE(MID(C33,5,3))&gt;=800,1000,2000)+VALUE(MID(C33,5,3))),"")</f>
        <v/>
      </c>
      <c r="N33">
        <f>IFERROR(IF(M33="","",IF(AND(DAY(DATE(M33,VALUE(MID(C33,3,2)),VALUE(MID(C33,1,2))))=VALUE(MID(C33,1,2)),MONTH(DATE(M33,VALUE(MID(C33,3,2)),VALUE(MID(C33,1,2))))=VALUE(MID(C33,3,2))),DATE(M33,VALUE(MID(C33,3,2)),VALUE(MID(C33,1,2))),"")),"")</f>
        <v/>
      </c>
    </row>
    <row r="34">
      <c r="A34" s="2" t="n"/>
      <c r="B34" s="2" t="n"/>
      <c r="C34" s="3" t="n"/>
      <c r="D34" s="2" t="n"/>
      <c r="E34" s="4">
        <f>IF(A34="","",5)</f>
        <v/>
      </c>
      <c r="F34" s="2" t="n"/>
      <c r="G34" s="4" t="n"/>
      <c r="H34" s="2" t="n"/>
      <c r="I34" s="2" t="n"/>
      <c r="J34" s="2">
        <f>IF(C34="","",IF(LEN(C34)&lt;&gt;13,"Nema 13 cifara (ima "&amp;LEN(C34)&amp;")",IF(L34="","JMBG sadrži nešto što nije cifra",IF(N34="","Nepostojeći datum rođenja",IF(VALUE(MID(C34,13,1))&lt;&gt;L34,"Pogrešna kontrolna cifra - treba "&amp;L34,"✓ ispravan")))))</f>
        <v/>
      </c>
      <c r="K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L34">
        <f>IF(K34="","",IF(11-MOD(K34,11)&gt;9,0,11-MOD(K34,11)))</f>
        <v/>
      </c>
      <c r="M34">
        <f>IFERROR(IF(LEN(C34)&lt;&gt;13,"",IF(VALUE(MID(C34,5,3))&gt;=800,1000,2000)+VALUE(MID(C34,5,3))),"")</f>
        <v/>
      </c>
      <c r="N34">
        <f>IFERROR(IF(M34="","",IF(AND(DAY(DATE(M34,VALUE(MID(C34,3,2)),VALUE(MID(C34,1,2))))=VALUE(MID(C34,1,2)),MONTH(DATE(M34,VALUE(MID(C34,3,2)),VALUE(MID(C34,1,2))))=VALUE(MID(C34,3,2))),DATE(M34,VALUE(MID(C34,3,2)),VALUE(MID(C34,1,2))),"")),"")</f>
        <v/>
      </c>
    </row>
    <row r="35">
      <c r="A35" s="2" t="n"/>
      <c r="B35" s="2" t="n"/>
      <c r="C35" s="3" t="n"/>
      <c r="D35" s="2" t="n"/>
      <c r="E35" s="4">
        <f>IF(A35="","",5)</f>
        <v/>
      </c>
      <c r="F35" s="2" t="n"/>
      <c r="G35" s="4" t="n"/>
      <c r="H35" s="2" t="n"/>
      <c r="I35" s="2" t="n"/>
      <c r="J35" s="2">
        <f>IF(C35="","",IF(LEN(C35)&lt;&gt;13,"Nema 13 cifara (ima "&amp;LEN(C35)&amp;")",IF(L35="","JMBG sadrži nešto što nije cifra",IF(N35="","Nepostojeći datum rođenja",IF(VALUE(MID(C35,13,1))&lt;&gt;L35,"Pogrešna kontrolna cifra - treba "&amp;L35,"✓ ispravan")))))</f>
        <v/>
      </c>
      <c r="K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L35">
        <f>IF(K35="","",IF(11-MOD(K35,11)&gt;9,0,11-MOD(K35,11)))</f>
        <v/>
      </c>
      <c r="M35">
        <f>IFERROR(IF(LEN(C35)&lt;&gt;13,"",IF(VALUE(MID(C35,5,3))&gt;=800,1000,2000)+VALUE(MID(C35,5,3))),"")</f>
        <v/>
      </c>
      <c r="N35">
        <f>IFERROR(IF(M35="","",IF(AND(DAY(DATE(M35,VALUE(MID(C35,3,2)),VALUE(MID(C35,1,2))))=VALUE(MID(C35,1,2)),MONTH(DATE(M35,VALUE(MID(C35,3,2)),VALUE(MID(C35,1,2))))=VALUE(MID(C35,3,2))),DATE(M35,VALUE(MID(C35,3,2)),VALUE(MID(C35,1,2))),"")),"")</f>
        <v/>
      </c>
    </row>
    <row r="36">
      <c r="A36" s="2" t="n"/>
      <c r="B36" s="2" t="n"/>
      <c r="C36" s="3" t="n"/>
      <c r="D36" s="2" t="n"/>
      <c r="E36" s="4">
        <f>IF(A36="","",5)</f>
        <v/>
      </c>
      <c r="F36" s="2" t="n"/>
      <c r="G36" s="4" t="n"/>
      <c r="H36" s="2" t="n"/>
      <c r="I36" s="2" t="n"/>
      <c r="J36" s="2">
        <f>IF(C36="","",IF(LEN(C36)&lt;&gt;13,"Nema 13 cifara (ima "&amp;LEN(C36)&amp;")",IF(L36="","JMBG sadrži nešto što nije cifra",IF(N36="","Nepostojeći datum rođenja",IF(VALUE(MID(C36,13,1))&lt;&gt;L36,"Pogrešna kontrolna cifra - treba "&amp;L36,"✓ ispravan")))))</f>
        <v/>
      </c>
      <c r="K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L36">
        <f>IF(K36="","",IF(11-MOD(K36,11)&gt;9,0,11-MOD(K36,11)))</f>
        <v/>
      </c>
      <c r="M36">
        <f>IFERROR(IF(LEN(C36)&lt;&gt;13,"",IF(VALUE(MID(C36,5,3))&gt;=800,1000,2000)+VALUE(MID(C36,5,3))),"")</f>
        <v/>
      </c>
      <c r="N36">
        <f>IFERROR(IF(M36="","",IF(AND(DAY(DATE(M36,VALUE(MID(C36,3,2)),VALUE(MID(C36,1,2))))=VALUE(MID(C36,1,2)),MONTH(DATE(M36,VALUE(MID(C36,3,2)),VALUE(MID(C36,1,2))))=VALUE(MID(C36,3,2))),DATE(M36,VALUE(MID(C36,3,2)),VALUE(MID(C36,1,2))),"")),"")</f>
        <v/>
      </c>
    </row>
    <row r="37">
      <c r="A37" s="2" t="n"/>
      <c r="B37" s="2" t="n"/>
      <c r="C37" s="3" t="n"/>
      <c r="D37" s="2" t="n"/>
      <c r="E37" s="4">
        <f>IF(A37="","",5)</f>
        <v/>
      </c>
      <c r="F37" s="2" t="n"/>
      <c r="G37" s="4" t="n"/>
      <c r="H37" s="2" t="n"/>
      <c r="I37" s="2" t="n"/>
      <c r="J37" s="2">
        <f>IF(C37="","",IF(LEN(C37)&lt;&gt;13,"Nema 13 cifara (ima "&amp;LEN(C37)&amp;")",IF(L37="","JMBG sadrži nešto što nije cifra",IF(N37="","Nepostojeći datum rođenja",IF(VALUE(MID(C37,13,1))&lt;&gt;L37,"Pogrešna kontrolna cifra - treba "&amp;L37,"✓ ispravan")))))</f>
        <v/>
      </c>
      <c r="K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L37">
        <f>IF(K37="","",IF(11-MOD(K37,11)&gt;9,0,11-MOD(K37,11)))</f>
        <v/>
      </c>
      <c r="M37">
        <f>IFERROR(IF(LEN(C37)&lt;&gt;13,"",IF(VALUE(MID(C37,5,3))&gt;=800,1000,2000)+VALUE(MID(C37,5,3))),"")</f>
        <v/>
      </c>
      <c r="N37">
        <f>IFERROR(IF(M37="","",IF(AND(DAY(DATE(M37,VALUE(MID(C37,3,2)),VALUE(MID(C37,1,2))))=VALUE(MID(C37,1,2)),MONTH(DATE(M37,VALUE(MID(C37,3,2)),VALUE(MID(C37,1,2))))=VALUE(MID(C37,3,2))),DATE(M37,VALUE(MID(C37,3,2)),VALUE(MID(C37,1,2))),"")),"")</f>
        <v/>
      </c>
    </row>
    <row r="38">
      <c r="A38" s="2" t="n"/>
      <c r="B38" s="2" t="n"/>
      <c r="C38" s="3" t="n"/>
      <c r="D38" s="2" t="n"/>
      <c r="E38" s="4">
        <f>IF(A38="","",5)</f>
        <v/>
      </c>
      <c r="F38" s="2" t="n"/>
      <c r="G38" s="4" t="n"/>
      <c r="H38" s="2" t="n"/>
      <c r="I38" s="2" t="n"/>
      <c r="J38" s="2">
        <f>IF(C38="","",IF(LEN(C38)&lt;&gt;13,"Nema 13 cifara (ima "&amp;LEN(C38)&amp;")",IF(L38="","JMBG sadrži nešto što nije cifra",IF(N38="","Nepostojeći datum rođenja",IF(VALUE(MID(C38,13,1))&lt;&gt;L38,"Pogrešna kontrolna cifra - treba "&amp;L38,"✓ ispravan")))))</f>
        <v/>
      </c>
      <c r="K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L38">
        <f>IF(K38="","",IF(11-MOD(K38,11)&gt;9,0,11-MOD(K38,11)))</f>
        <v/>
      </c>
      <c r="M38">
        <f>IFERROR(IF(LEN(C38)&lt;&gt;13,"",IF(VALUE(MID(C38,5,3))&gt;=800,1000,2000)+VALUE(MID(C38,5,3))),"")</f>
        <v/>
      </c>
      <c r="N38">
        <f>IFERROR(IF(M38="","",IF(AND(DAY(DATE(M38,VALUE(MID(C38,3,2)),VALUE(MID(C38,1,2))))=VALUE(MID(C38,1,2)),MONTH(DATE(M38,VALUE(MID(C38,3,2)),VALUE(MID(C38,1,2))))=VALUE(MID(C38,3,2))),DATE(M38,VALUE(MID(C38,3,2)),VALUE(MID(C38,1,2))),"")),"")</f>
        <v/>
      </c>
    </row>
    <row r="39">
      <c r="A39" s="2" t="n"/>
      <c r="B39" s="2" t="n"/>
      <c r="C39" s="3" t="n"/>
      <c r="D39" s="2" t="n"/>
      <c r="E39" s="4">
        <f>IF(A39="","",5)</f>
        <v/>
      </c>
      <c r="F39" s="2" t="n"/>
      <c r="G39" s="4" t="n"/>
      <c r="H39" s="2" t="n"/>
      <c r="I39" s="2" t="n"/>
      <c r="J39" s="2">
        <f>IF(C39="","",IF(LEN(C39)&lt;&gt;13,"Nema 13 cifara (ima "&amp;LEN(C39)&amp;")",IF(L39="","JMBG sadrži nešto što nije cifra",IF(N39="","Nepostojeći datum rođenja",IF(VALUE(MID(C39,13,1))&lt;&gt;L39,"Pogrešna kontrolna cifra - treba "&amp;L39,"✓ ispravan")))))</f>
        <v/>
      </c>
      <c r="K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L39">
        <f>IF(K39="","",IF(11-MOD(K39,11)&gt;9,0,11-MOD(K39,11)))</f>
        <v/>
      </c>
      <c r="M39">
        <f>IFERROR(IF(LEN(C39)&lt;&gt;13,"",IF(VALUE(MID(C39,5,3))&gt;=800,1000,2000)+VALUE(MID(C39,5,3))),"")</f>
        <v/>
      </c>
      <c r="N39">
        <f>IFERROR(IF(M39="","",IF(AND(DAY(DATE(M39,VALUE(MID(C39,3,2)),VALUE(MID(C39,1,2))))=VALUE(MID(C39,1,2)),MONTH(DATE(M39,VALUE(MID(C39,3,2)),VALUE(MID(C39,1,2))))=VALUE(MID(C39,3,2))),DATE(M39,VALUE(MID(C39,3,2)),VALUE(MID(C39,1,2))),"")),"")</f>
        <v/>
      </c>
    </row>
    <row r="40">
      <c r="A40" s="2" t="n"/>
      <c r="B40" s="2" t="n"/>
      <c r="C40" s="3" t="n"/>
      <c r="D40" s="2" t="n"/>
      <c r="E40" s="4">
        <f>IF(A40="","",5)</f>
        <v/>
      </c>
      <c r="F40" s="2" t="n"/>
      <c r="G40" s="4" t="n"/>
      <c r="H40" s="2" t="n"/>
      <c r="I40" s="2" t="n"/>
      <c r="J40" s="2">
        <f>IF(C40="","",IF(LEN(C40)&lt;&gt;13,"Nema 13 cifara (ima "&amp;LEN(C40)&amp;")",IF(L40="","JMBG sadrži nešto što nije cifra",IF(N40="","Nepostojeći datum rođenja",IF(VALUE(MID(C40,13,1))&lt;&gt;L40,"Pogrešna kontrolna cifra - treba "&amp;L40,"✓ ispravan")))))</f>
        <v/>
      </c>
      <c r="K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L40">
        <f>IF(K40="","",IF(11-MOD(K40,11)&gt;9,0,11-MOD(K40,11)))</f>
        <v/>
      </c>
      <c r="M40">
        <f>IFERROR(IF(LEN(C40)&lt;&gt;13,"",IF(VALUE(MID(C40,5,3))&gt;=800,1000,2000)+VALUE(MID(C40,5,3))),"")</f>
        <v/>
      </c>
      <c r="N40">
        <f>IFERROR(IF(M40="","",IF(AND(DAY(DATE(M40,VALUE(MID(C40,3,2)),VALUE(MID(C40,1,2))))=VALUE(MID(C40,1,2)),MONTH(DATE(M40,VALUE(MID(C40,3,2)),VALUE(MID(C40,1,2))))=VALUE(MID(C40,3,2))),DATE(M40,VALUE(MID(C40,3,2)),VALUE(MID(C40,1,2))),"")),"")</f>
        <v/>
      </c>
    </row>
    <row r="41">
      <c r="A41" s="2" t="n"/>
      <c r="B41" s="2" t="n"/>
      <c r="C41" s="3" t="n"/>
      <c r="D41" s="2" t="n"/>
      <c r="E41" s="4">
        <f>IF(A41="","",5)</f>
        <v/>
      </c>
      <c r="F41" s="2" t="n"/>
      <c r="G41" s="4" t="n"/>
      <c r="H41" s="2" t="n"/>
      <c r="I41" s="2" t="n"/>
      <c r="J41" s="2">
        <f>IF(C41="","",IF(LEN(C41)&lt;&gt;13,"Nema 13 cifara (ima "&amp;LEN(C41)&amp;")",IF(L41="","JMBG sadrži nešto što nije cifra",IF(N41="","Nepostojeći datum rođenja",IF(VALUE(MID(C41,13,1))&lt;&gt;L41,"Pogrešna kontrolna cifra - treba "&amp;L41,"✓ ispravan")))))</f>
        <v/>
      </c>
      <c r="K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L41">
        <f>IF(K41="","",IF(11-MOD(K41,11)&gt;9,0,11-MOD(K41,11)))</f>
        <v/>
      </c>
      <c r="M41">
        <f>IFERROR(IF(LEN(C41)&lt;&gt;13,"",IF(VALUE(MID(C41,5,3))&gt;=800,1000,2000)+VALUE(MID(C41,5,3))),"")</f>
        <v/>
      </c>
      <c r="N41">
        <f>IFERROR(IF(M41="","",IF(AND(DAY(DATE(M41,VALUE(MID(C41,3,2)),VALUE(MID(C41,1,2))))=VALUE(MID(C41,1,2)),MONTH(DATE(M41,VALUE(MID(C41,3,2)),VALUE(MID(C41,1,2))))=VALUE(MID(C41,3,2))),DATE(M41,VALUE(MID(C41,3,2)),VALUE(MID(C41,1,2))),"")),"")</f>
        <v/>
      </c>
    </row>
    <row r="42">
      <c r="A42" s="2" t="n"/>
      <c r="B42" s="2" t="n"/>
      <c r="C42" s="3" t="n"/>
      <c r="D42" s="2" t="n"/>
      <c r="E42" s="4">
        <f>IF(A42="","",5)</f>
        <v/>
      </c>
      <c r="F42" s="2" t="n"/>
      <c r="G42" s="4" t="n"/>
      <c r="H42" s="2" t="n"/>
      <c r="I42" s="2" t="n"/>
      <c r="J42" s="2">
        <f>IF(C42="","",IF(LEN(C42)&lt;&gt;13,"Nema 13 cifara (ima "&amp;LEN(C42)&amp;")",IF(L42="","JMBG sadrži nešto što nije cifra",IF(N42="","Nepostojeći datum rođenja",IF(VALUE(MID(C42,13,1))&lt;&gt;L42,"Pogrešna kontrolna cifra - treba "&amp;L42,"✓ ispravan")))))</f>
        <v/>
      </c>
      <c r="K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L42">
        <f>IF(K42="","",IF(11-MOD(K42,11)&gt;9,0,11-MOD(K42,11)))</f>
        <v/>
      </c>
      <c r="M42">
        <f>IFERROR(IF(LEN(C42)&lt;&gt;13,"",IF(VALUE(MID(C42,5,3))&gt;=800,1000,2000)+VALUE(MID(C42,5,3))),"")</f>
        <v/>
      </c>
      <c r="N42">
        <f>IFERROR(IF(M42="","",IF(AND(DAY(DATE(M42,VALUE(MID(C42,3,2)),VALUE(MID(C42,1,2))))=VALUE(MID(C42,1,2)),MONTH(DATE(M42,VALUE(MID(C42,3,2)),VALUE(MID(C42,1,2))))=VALUE(MID(C42,3,2))),DATE(M42,VALUE(MID(C42,3,2)),VALUE(MID(C42,1,2))),"")),"")</f>
        <v/>
      </c>
    </row>
    <row r="43">
      <c r="A43" s="2" t="n"/>
      <c r="B43" s="2" t="n"/>
      <c r="C43" s="3" t="n"/>
      <c r="D43" s="2" t="n"/>
      <c r="E43" s="4">
        <f>IF(A43="","",5)</f>
        <v/>
      </c>
      <c r="F43" s="2" t="n"/>
      <c r="G43" s="4" t="n"/>
      <c r="H43" s="2" t="n"/>
      <c r="I43" s="2" t="n"/>
      <c r="J43" s="2">
        <f>IF(C43="","",IF(LEN(C43)&lt;&gt;13,"Nema 13 cifara (ima "&amp;LEN(C43)&amp;")",IF(L43="","JMBG sadrži nešto što nije cifra",IF(N43="","Nepostojeći datum rođenja",IF(VALUE(MID(C43,13,1))&lt;&gt;L43,"Pogrešna kontrolna cifra - treba "&amp;L43,"✓ ispravan")))))</f>
        <v/>
      </c>
      <c r="K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L43">
        <f>IF(K43="","",IF(11-MOD(K43,11)&gt;9,0,11-MOD(K43,11)))</f>
        <v/>
      </c>
      <c r="M43">
        <f>IFERROR(IF(LEN(C43)&lt;&gt;13,"",IF(VALUE(MID(C43,5,3))&gt;=800,1000,2000)+VALUE(MID(C43,5,3))),"")</f>
        <v/>
      </c>
      <c r="N43">
        <f>IFERROR(IF(M43="","",IF(AND(DAY(DATE(M43,VALUE(MID(C43,3,2)),VALUE(MID(C43,1,2))))=VALUE(MID(C43,1,2)),MONTH(DATE(M43,VALUE(MID(C43,3,2)),VALUE(MID(C43,1,2))))=VALUE(MID(C43,3,2))),DATE(M43,VALUE(MID(C43,3,2)),VALUE(MID(C43,1,2))),"")),"")</f>
        <v/>
      </c>
    </row>
    <row r="44">
      <c r="A44" s="2" t="n"/>
      <c r="B44" s="2" t="n"/>
      <c r="C44" s="3" t="n"/>
      <c r="D44" s="2" t="n"/>
      <c r="E44" s="4">
        <f>IF(A44="","",5)</f>
        <v/>
      </c>
      <c r="F44" s="2" t="n"/>
      <c r="G44" s="4" t="n"/>
      <c r="H44" s="2" t="n"/>
      <c r="I44" s="2" t="n"/>
      <c r="J44" s="2">
        <f>IF(C44="","",IF(LEN(C44)&lt;&gt;13,"Nema 13 cifara (ima "&amp;LEN(C44)&amp;")",IF(L44="","JMBG sadrži nešto što nije cifra",IF(N44="","Nepostojeći datum rođenja",IF(VALUE(MID(C44,13,1))&lt;&gt;L44,"Pogrešna kontrolna cifra - treba "&amp;L44,"✓ ispravan")))))</f>
        <v/>
      </c>
      <c r="K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L44">
        <f>IF(K44="","",IF(11-MOD(K44,11)&gt;9,0,11-MOD(K44,11)))</f>
        <v/>
      </c>
      <c r="M44">
        <f>IFERROR(IF(LEN(C44)&lt;&gt;13,"",IF(VALUE(MID(C44,5,3))&gt;=800,1000,2000)+VALUE(MID(C44,5,3))),"")</f>
        <v/>
      </c>
      <c r="N44">
        <f>IFERROR(IF(M44="","",IF(AND(DAY(DATE(M44,VALUE(MID(C44,3,2)),VALUE(MID(C44,1,2))))=VALUE(MID(C44,1,2)),MONTH(DATE(M44,VALUE(MID(C44,3,2)),VALUE(MID(C44,1,2))))=VALUE(MID(C44,3,2))),DATE(M44,VALUE(MID(C44,3,2)),VALUE(MID(C44,1,2))),"")),"")</f>
        <v/>
      </c>
    </row>
    <row r="45">
      <c r="A45" s="2" t="n"/>
      <c r="B45" s="2" t="n"/>
      <c r="C45" s="3" t="n"/>
      <c r="D45" s="2" t="n"/>
      <c r="E45" s="4">
        <f>IF(A45="","",5)</f>
        <v/>
      </c>
      <c r="F45" s="2" t="n"/>
      <c r="G45" s="4" t="n"/>
      <c r="H45" s="2" t="n"/>
      <c r="I45" s="2" t="n"/>
      <c r="J45" s="2">
        <f>IF(C45="","",IF(LEN(C45)&lt;&gt;13,"Nema 13 cifara (ima "&amp;LEN(C45)&amp;")",IF(L45="","JMBG sadrži nešto što nije cifra",IF(N45="","Nepostojeći datum rođenja",IF(VALUE(MID(C45,13,1))&lt;&gt;L45,"Pogrešna kontrolna cifra - treba "&amp;L45,"✓ ispravan")))))</f>
        <v/>
      </c>
      <c r="K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L45">
        <f>IF(K45="","",IF(11-MOD(K45,11)&gt;9,0,11-MOD(K45,11)))</f>
        <v/>
      </c>
      <c r="M45">
        <f>IFERROR(IF(LEN(C45)&lt;&gt;13,"",IF(VALUE(MID(C45,5,3))&gt;=800,1000,2000)+VALUE(MID(C45,5,3))),"")</f>
        <v/>
      </c>
      <c r="N45">
        <f>IFERROR(IF(M45="","",IF(AND(DAY(DATE(M45,VALUE(MID(C45,3,2)),VALUE(MID(C45,1,2))))=VALUE(MID(C45,1,2)),MONTH(DATE(M45,VALUE(MID(C45,3,2)),VALUE(MID(C45,1,2))))=VALUE(MID(C45,3,2))),DATE(M45,VALUE(MID(C45,3,2)),VALUE(MID(C45,1,2))),"")),"")</f>
        <v/>
      </c>
    </row>
    <row r="46">
      <c r="A46" s="2" t="n"/>
      <c r="B46" s="2" t="n"/>
      <c r="C46" s="3" t="n"/>
      <c r="D46" s="2" t="n"/>
      <c r="E46" s="4">
        <f>IF(A46="","",5)</f>
        <v/>
      </c>
      <c r="F46" s="2" t="n"/>
      <c r="G46" s="4" t="n"/>
      <c r="H46" s="2" t="n"/>
      <c r="I46" s="2" t="n"/>
      <c r="J46" s="2">
        <f>IF(C46="","",IF(LEN(C46)&lt;&gt;13,"Nema 13 cifara (ima "&amp;LEN(C46)&amp;")",IF(L46="","JMBG sadrži nešto što nije cifra",IF(N46="","Nepostojeći datum rođenja",IF(VALUE(MID(C46,13,1))&lt;&gt;L46,"Pogrešna kontrolna cifra - treba "&amp;L46,"✓ ispravan")))))</f>
        <v/>
      </c>
      <c r="K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L46">
        <f>IF(K46="","",IF(11-MOD(K46,11)&gt;9,0,11-MOD(K46,11)))</f>
        <v/>
      </c>
      <c r="M46">
        <f>IFERROR(IF(LEN(C46)&lt;&gt;13,"",IF(VALUE(MID(C46,5,3))&gt;=800,1000,2000)+VALUE(MID(C46,5,3))),"")</f>
        <v/>
      </c>
      <c r="N46">
        <f>IFERROR(IF(M46="","",IF(AND(DAY(DATE(M46,VALUE(MID(C46,3,2)),VALUE(MID(C46,1,2))))=VALUE(MID(C46,1,2)),MONTH(DATE(M46,VALUE(MID(C46,3,2)),VALUE(MID(C46,1,2))))=VALUE(MID(C46,3,2))),DATE(M46,VALUE(MID(C46,3,2)),VALUE(MID(C46,1,2))),"")),"")</f>
        <v/>
      </c>
    </row>
    <row r="47">
      <c r="A47" s="2" t="n"/>
      <c r="B47" s="2" t="n"/>
      <c r="C47" s="3" t="n"/>
      <c r="D47" s="2" t="n"/>
      <c r="E47" s="4">
        <f>IF(A47="","",5)</f>
        <v/>
      </c>
      <c r="F47" s="2" t="n"/>
      <c r="G47" s="4" t="n"/>
      <c r="H47" s="2" t="n"/>
      <c r="I47" s="2" t="n"/>
      <c r="J47" s="2">
        <f>IF(C47="","",IF(LEN(C47)&lt;&gt;13,"Nema 13 cifara (ima "&amp;LEN(C47)&amp;")",IF(L47="","JMBG sadrži nešto što nije cifra",IF(N47="","Nepostojeći datum rođenja",IF(VALUE(MID(C47,13,1))&lt;&gt;L47,"Pogrešna kontrolna cifra - treba "&amp;L47,"✓ ispravan")))))</f>
        <v/>
      </c>
      <c r="K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L47">
        <f>IF(K47="","",IF(11-MOD(K47,11)&gt;9,0,11-MOD(K47,11)))</f>
        <v/>
      </c>
      <c r="M47">
        <f>IFERROR(IF(LEN(C47)&lt;&gt;13,"",IF(VALUE(MID(C47,5,3))&gt;=800,1000,2000)+VALUE(MID(C47,5,3))),"")</f>
        <v/>
      </c>
      <c r="N47">
        <f>IFERROR(IF(M47="","",IF(AND(DAY(DATE(M47,VALUE(MID(C47,3,2)),VALUE(MID(C47,1,2))))=VALUE(MID(C47,1,2)),MONTH(DATE(M47,VALUE(MID(C47,3,2)),VALUE(MID(C47,1,2))))=VALUE(MID(C47,3,2))),DATE(M47,VALUE(MID(C47,3,2)),VALUE(MID(C47,1,2))),"")),"")</f>
        <v/>
      </c>
    </row>
    <row r="48">
      <c r="A48" s="2" t="n"/>
      <c r="B48" s="2" t="n"/>
      <c r="C48" s="3" t="n"/>
      <c r="D48" s="2" t="n"/>
      <c r="E48" s="4">
        <f>IF(A48="","",5)</f>
        <v/>
      </c>
      <c r="F48" s="2" t="n"/>
      <c r="G48" s="4" t="n"/>
      <c r="H48" s="2" t="n"/>
      <c r="I48" s="2" t="n"/>
      <c r="J48" s="2">
        <f>IF(C48="","",IF(LEN(C48)&lt;&gt;13,"Nema 13 cifara (ima "&amp;LEN(C48)&amp;")",IF(L48="","JMBG sadrži nešto što nije cifra",IF(N48="","Nepostojeći datum rođenja",IF(VALUE(MID(C48,13,1))&lt;&gt;L48,"Pogrešna kontrolna cifra - treba "&amp;L48,"✓ ispravan")))))</f>
        <v/>
      </c>
      <c r="K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L48">
        <f>IF(K48="","",IF(11-MOD(K48,11)&gt;9,0,11-MOD(K48,11)))</f>
        <v/>
      </c>
      <c r="M48">
        <f>IFERROR(IF(LEN(C48)&lt;&gt;13,"",IF(VALUE(MID(C48,5,3))&gt;=800,1000,2000)+VALUE(MID(C48,5,3))),"")</f>
        <v/>
      </c>
      <c r="N48">
        <f>IFERROR(IF(M48="","",IF(AND(DAY(DATE(M48,VALUE(MID(C48,3,2)),VALUE(MID(C48,1,2))))=VALUE(MID(C48,1,2)),MONTH(DATE(M48,VALUE(MID(C48,3,2)),VALUE(MID(C48,1,2))))=VALUE(MID(C48,3,2))),DATE(M48,VALUE(MID(C48,3,2)),VALUE(MID(C48,1,2))),"")),"")</f>
        <v/>
      </c>
    </row>
    <row r="49">
      <c r="A49" s="2" t="n"/>
      <c r="B49" s="2" t="n"/>
      <c r="C49" s="3" t="n"/>
      <c r="D49" s="2" t="n"/>
      <c r="E49" s="4">
        <f>IF(A49="","",5)</f>
        <v/>
      </c>
      <c r="F49" s="2" t="n"/>
      <c r="G49" s="4" t="n"/>
      <c r="H49" s="2" t="n"/>
      <c r="I49" s="2" t="n"/>
      <c r="J49" s="2">
        <f>IF(C49="","",IF(LEN(C49)&lt;&gt;13,"Nema 13 cifara (ima "&amp;LEN(C49)&amp;")",IF(L49="","JMBG sadrži nešto što nije cifra",IF(N49="","Nepostojeći datum rođenja",IF(VALUE(MID(C49,13,1))&lt;&gt;L49,"Pogrešna kontrolna cifra - treba "&amp;L49,"✓ ispravan")))))</f>
        <v/>
      </c>
      <c r="K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L49">
        <f>IF(K49="","",IF(11-MOD(K49,11)&gt;9,0,11-MOD(K49,11)))</f>
        <v/>
      </c>
      <c r="M49">
        <f>IFERROR(IF(LEN(C49)&lt;&gt;13,"",IF(VALUE(MID(C49,5,3))&gt;=800,1000,2000)+VALUE(MID(C49,5,3))),"")</f>
        <v/>
      </c>
      <c r="N49">
        <f>IFERROR(IF(M49="","",IF(AND(DAY(DATE(M49,VALUE(MID(C49,3,2)),VALUE(MID(C49,1,2))))=VALUE(MID(C49,1,2)),MONTH(DATE(M49,VALUE(MID(C49,3,2)),VALUE(MID(C49,1,2))))=VALUE(MID(C49,3,2))),DATE(M49,VALUE(MID(C49,3,2)),VALUE(MID(C49,1,2))),"")),"")</f>
        <v/>
      </c>
    </row>
    <row r="50">
      <c r="A50" s="2" t="n"/>
      <c r="B50" s="2" t="n"/>
      <c r="C50" s="3" t="n"/>
      <c r="D50" s="2" t="n"/>
      <c r="E50" s="4">
        <f>IF(A50="","",5)</f>
        <v/>
      </c>
      <c r="F50" s="2" t="n"/>
      <c r="G50" s="4" t="n"/>
      <c r="H50" s="2" t="n"/>
      <c r="I50" s="2" t="n"/>
      <c r="J50" s="2">
        <f>IF(C50="","",IF(LEN(C50)&lt;&gt;13,"Nema 13 cifara (ima "&amp;LEN(C50)&amp;")",IF(L50="","JMBG sadrži nešto što nije cifra",IF(N50="","Nepostojeći datum rođenja",IF(VALUE(MID(C50,13,1))&lt;&gt;L50,"Pogrešna kontrolna cifra - treba "&amp;L50,"✓ ispravan")))))</f>
        <v/>
      </c>
      <c r="K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L50">
        <f>IF(K50="","",IF(11-MOD(K50,11)&gt;9,0,11-MOD(K50,11)))</f>
        <v/>
      </c>
      <c r="M50">
        <f>IFERROR(IF(LEN(C50)&lt;&gt;13,"",IF(VALUE(MID(C50,5,3))&gt;=800,1000,2000)+VALUE(MID(C50,5,3))),"")</f>
        <v/>
      </c>
      <c r="N50">
        <f>IFERROR(IF(M50="","",IF(AND(DAY(DATE(M50,VALUE(MID(C50,3,2)),VALUE(MID(C50,1,2))))=VALUE(MID(C50,1,2)),MONTH(DATE(M50,VALUE(MID(C50,3,2)),VALUE(MID(C50,1,2))))=VALUE(MID(C50,3,2))),DATE(M50,VALUE(MID(C50,3,2)),VALUE(MID(C50,1,2))),"")),"")</f>
        <v/>
      </c>
    </row>
    <row r="51">
      <c r="A51" s="2" t="n"/>
      <c r="B51" s="2" t="n"/>
      <c r="C51" s="3" t="n"/>
      <c r="D51" s="2" t="n"/>
      <c r="E51" s="4">
        <f>IF(A51="","",5)</f>
        <v/>
      </c>
      <c r="F51" s="2" t="n"/>
      <c r="G51" s="4" t="n"/>
      <c r="H51" s="2" t="n"/>
      <c r="I51" s="2" t="n"/>
      <c r="J51" s="2">
        <f>IF(C51="","",IF(LEN(C51)&lt;&gt;13,"Nema 13 cifara (ima "&amp;LEN(C51)&amp;")",IF(L51="","JMBG sadrži nešto što nije cifra",IF(N51="","Nepostojeći datum rođenja",IF(VALUE(MID(C51,13,1))&lt;&gt;L51,"Pogrešna kontrolna cifra - treba "&amp;L51,"✓ ispravan")))))</f>
        <v/>
      </c>
      <c r="K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L51">
        <f>IF(K51="","",IF(11-MOD(K51,11)&gt;9,0,11-MOD(K51,11)))</f>
        <v/>
      </c>
      <c r="M51">
        <f>IFERROR(IF(LEN(C51)&lt;&gt;13,"",IF(VALUE(MID(C51,5,3))&gt;=800,1000,2000)+VALUE(MID(C51,5,3))),"")</f>
        <v/>
      </c>
      <c r="N51">
        <f>IFERROR(IF(M51="","",IF(AND(DAY(DATE(M51,VALUE(MID(C51,3,2)),VALUE(MID(C51,1,2))))=VALUE(MID(C51,1,2)),MONTH(DATE(M51,VALUE(MID(C51,3,2)),VALUE(MID(C51,1,2))))=VALUE(MID(C51,3,2))),DATE(M51,VALUE(MID(C51,3,2)),VALUE(MID(C51,1,2))),"")),"")</f>
        <v/>
      </c>
    </row>
    <row r="52">
      <c r="A52" s="2" t="n"/>
      <c r="B52" s="2" t="n"/>
      <c r="C52" s="3" t="n"/>
      <c r="D52" s="2" t="n"/>
      <c r="E52" s="4">
        <f>IF(A52="","",5)</f>
        <v/>
      </c>
      <c r="F52" s="2" t="n"/>
      <c r="G52" s="4" t="n"/>
      <c r="H52" s="2" t="n"/>
      <c r="I52" s="2" t="n"/>
      <c r="J52" s="2">
        <f>IF(C52="","",IF(LEN(C52)&lt;&gt;13,"Nema 13 cifara (ima "&amp;LEN(C52)&amp;")",IF(L52="","JMBG sadrži nešto što nije cifra",IF(N52="","Nepostojeći datum rođenja",IF(VALUE(MID(C52,13,1))&lt;&gt;L52,"Pogrešna kontrolna cifra - treba "&amp;L52,"✓ ispravan")))))</f>
        <v/>
      </c>
      <c r="K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L52">
        <f>IF(K52="","",IF(11-MOD(K52,11)&gt;9,0,11-MOD(K52,11)))</f>
        <v/>
      </c>
      <c r="M52">
        <f>IFERROR(IF(LEN(C52)&lt;&gt;13,"",IF(VALUE(MID(C52,5,3))&gt;=800,1000,2000)+VALUE(MID(C52,5,3))),"")</f>
        <v/>
      </c>
      <c r="N52">
        <f>IFERROR(IF(M52="","",IF(AND(DAY(DATE(M52,VALUE(MID(C52,3,2)),VALUE(MID(C52,1,2))))=VALUE(MID(C52,1,2)),MONTH(DATE(M52,VALUE(MID(C52,3,2)),VALUE(MID(C52,1,2))))=VALUE(MID(C52,3,2))),DATE(M52,VALUE(MID(C52,3,2)),VALUE(MID(C52,1,2))),"")),"")</f>
        <v/>
      </c>
    </row>
    <row r="53">
      <c r="A53" s="2" t="n"/>
      <c r="B53" s="2" t="n"/>
      <c r="C53" s="3" t="n"/>
      <c r="D53" s="2" t="n"/>
      <c r="E53" s="4">
        <f>IF(A53="","",5)</f>
        <v/>
      </c>
      <c r="F53" s="2" t="n"/>
      <c r="G53" s="4" t="n"/>
      <c r="H53" s="2" t="n"/>
      <c r="I53" s="2" t="n"/>
      <c r="J53" s="2">
        <f>IF(C53="","",IF(LEN(C53)&lt;&gt;13,"Nema 13 cifara (ima "&amp;LEN(C53)&amp;")",IF(L53="","JMBG sadrži nešto što nije cifra",IF(N53="","Nepostojeći datum rođenja",IF(VALUE(MID(C53,13,1))&lt;&gt;L53,"Pogrešna kontrolna cifra - treba "&amp;L53,"✓ ispravan")))))</f>
        <v/>
      </c>
      <c r="K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L53">
        <f>IF(K53="","",IF(11-MOD(K53,11)&gt;9,0,11-MOD(K53,11)))</f>
        <v/>
      </c>
      <c r="M53">
        <f>IFERROR(IF(LEN(C53)&lt;&gt;13,"",IF(VALUE(MID(C53,5,3))&gt;=800,1000,2000)+VALUE(MID(C53,5,3))),"")</f>
        <v/>
      </c>
      <c r="N53">
        <f>IFERROR(IF(M53="","",IF(AND(DAY(DATE(M53,VALUE(MID(C53,3,2)),VALUE(MID(C53,1,2))))=VALUE(MID(C53,1,2)),MONTH(DATE(M53,VALUE(MID(C53,3,2)),VALUE(MID(C53,1,2))))=VALUE(MID(C53,3,2))),DATE(M53,VALUE(MID(C53,3,2)),VALUE(MID(C53,1,2))),"")),"")</f>
        <v/>
      </c>
    </row>
    <row r="54">
      <c r="A54" s="2" t="n"/>
      <c r="B54" s="2" t="n"/>
      <c r="C54" s="3" t="n"/>
      <c r="D54" s="2" t="n"/>
      <c r="E54" s="4">
        <f>IF(A54="","",5)</f>
        <v/>
      </c>
      <c r="F54" s="2" t="n"/>
      <c r="G54" s="4" t="n"/>
      <c r="H54" s="2" t="n"/>
      <c r="I54" s="2" t="n"/>
      <c r="J54" s="2">
        <f>IF(C54="","",IF(LEN(C54)&lt;&gt;13,"Nema 13 cifara (ima "&amp;LEN(C54)&amp;")",IF(L54="","JMBG sadrži nešto što nije cifra",IF(N54="","Nepostojeći datum rođenja",IF(VALUE(MID(C54,13,1))&lt;&gt;L54,"Pogrešna kontrolna cifra - treba "&amp;L54,"✓ ispravan")))))</f>
        <v/>
      </c>
      <c r="K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L54">
        <f>IF(K54="","",IF(11-MOD(K54,11)&gt;9,0,11-MOD(K54,11)))</f>
        <v/>
      </c>
      <c r="M54">
        <f>IFERROR(IF(LEN(C54)&lt;&gt;13,"",IF(VALUE(MID(C54,5,3))&gt;=800,1000,2000)+VALUE(MID(C54,5,3))),"")</f>
        <v/>
      </c>
      <c r="N54">
        <f>IFERROR(IF(M54="","",IF(AND(DAY(DATE(M54,VALUE(MID(C54,3,2)),VALUE(MID(C54,1,2))))=VALUE(MID(C54,1,2)),MONTH(DATE(M54,VALUE(MID(C54,3,2)),VALUE(MID(C54,1,2))))=VALUE(MID(C54,3,2))),DATE(M54,VALUE(MID(C54,3,2)),VALUE(MID(C54,1,2))),"")),"")</f>
        <v/>
      </c>
    </row>
    <row r="55">
      <c r="A55" s="2" t="n"/>
      <c r="B55" s="2" t="n"/>
      <c r="C55" s="3" t="n"/>
      <c r="D55" s="2" t="n"/>
      <c r="E55" s="4">
        <f>IF(A55="","",5)</f>
        <v/>
      </c>
      <c r="F55" s="2" t="n"/>
      <c r="G55" s="4" t="n"/>
      <c r="H55" s="2" t="n"/>
      <c r="I55" s="2" t="n"/>
      <c r="J55" s="2">
        <f>IF(C55="","",IF(LEN(C55)&lt;&gt;13,"Nema 13 cifara (ima "&amp;LEN(C55)&amp;")",IF(L55="","JMBG sadrži nešto što nije cifra",IF(N55="","Nepostojeći datum rođenja",IF(VALUE(MID(C55,13,1))&lt;&gt;L55,"Pogrešna kontrolna cifra - treba "&amp;L55,"✓ ispravan")))))</f>
        <v/>
      </c>
      <c r="K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L55">
        <f>IF(K55="","",IF(11-MOD(K55,11)&gt;9,0,11-MOD(K55,11)))</f>
        <v/>
      </c>
      <c r="M55">
        <f>IFERROR(IF(LEN(C55)&lt;&gt;13,"",IF(VALUE(MID(C55,5,3))&gt;=800,1000,2000)+VALUE(MID(C55,5,3))),"")</f>
        <v/>
      </c>
      <c r="N55">
        <f>IFERROR(IF(M55="","",IF(AND(DAY(DATE(M55,VALUE(MID(C55,3,2)),VALUE(MID(C55,1,2))))=VALUE(MID(C55,1,2)),MONTH(DATE(M55,VALUE(MID(C55,3,2)),VALUE(MID(C55,1,2))))=VALUE(MID(C55,3,2))),DATE(M55,VALUE(MID(C55,3,2)),VALUE(MID(C55,1,2))),"")),"")</f>
        <v/>
      </c>
    </row>
    <row r="56">
      <c r="A56" s="2" t="n"/>
      <c r="B56" s="2" t="n"/>
      <c r="C56" s="3" t="n"/>
      <c r="D56" s="2" t="n"/>
      <c r="E56" s="4">
        <f>IF(A56="","",5)</f>
        <v/>
      </c>
      <c r="F56" s="2" t="n"/>
      <c r="G56" s="4" t="n"/>
      <c r="H56" s="2" t="n"/>
      <c r="I56" s="2" t="n"/>
      <c r="J56" s="2">
        <f>IF(C56="","",IF(LEN(C56)&lt;&gt;13,"Nema 13 cifara (ima "&amp;LEN(C56)&amp;")",IF(L56="","JMBG sadrži nešto što nije cifra",IF(N56="","Nepostojeći datum rođenja",IF(VALUE(MID(C56,13,1))&lt;&gt;L56,"Pogrešna kontrolna cifra - treba "&amp;L56,"✓ ispravan")))))</f>
        <v/>
      </c>
      <c r="K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L56">
        <f>IF(K56="","",IF(11-MOD(K56,11)&gt;9,0,11-MOD(K56,11)))</f>
        <v/>
      </c>
      <c r="M56">
        <f>IFERROR(IF(LEN(C56)&lt;&gt;13,"",IF(VALUE(MID(C56,5,3))&gt;=800,1000,2000)+VALUE(MID(C56,5,3))),"")</f>
        <v/>
      </c>
      <c r="N56">
        <f>IFERROR(IF(M56="","",IF(AND(DAY(DATE(M56,VALUE(MID(C56,3,2)),VALUE(MID(C56,1,2))))=VALUE(MID(C56,1,2)),MONTH(DATE(M56,VALUE(MID(C56,3,2)),VALUE(MID(C56,1,2))))=VALUE(MID(C56,3,2))),DATE(M56,VALUE(MID(C56,3,2)),VALUE(MID(C56,1,2))),"")),"")</f>
        <v/>
      </c>
    </row>
    <row r="57">
      <c r="A57" s="2" t="n"/>
      <c r="B57" s="2" t="n"/>
      <c r="C57" s="3" t="n"/>
      <c r="D57" s="2" t="n"/>
      <c r="E57" s="4">
        <f>IF(A57="","",5)</f>
        <v/>
      </c>
      <c r="F57" s="2" t="n"/>
      <c r="G57" s="4" t="n"/>
      <c r="H57" s="2" t="n"/>
      <c r="I57" s="2" t="n"/>
      <c r="J57" s="2">
        <f>IF(C57="","",IF(LEN(C57)&lt;&gt;13,"Nema 13 cifara (ima "&amp;LEN(C57)&amp;")",IF(L57="","JMBG sadrži nešto što nije cifra",IF(N57="","Nepostojeći datum rođenja",IF(VALUE(MID(C57,13,1))&lt;&gt;L57,"Pogrešna kontrolna cifra - treba "&amp;L57,"✓ ispravan")))))</f>
        <v/>
      </c>
      <c r="K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L57">
        <f>IF(K57="","",IF(11-MOD(K57,11)&gt;9,0,11-MOD(K57,11)))</f>
        <v/>
      </c>
      <c r="M57">
        <f>IFERROR(IF(LEN(C57)&lt;&gt;13,"",IF(VALUE(MID(C57,5,3))&gt;=800,1000,2000)+VALUE(MID(C57,5,3))),"")</f>
        <v/>
      </c>
      <c r="N57">
        <f>IFERROR(IF(M57="","",IF(AND(DAY(DATE(M57,VALUE(MID(C57,3,2)),VALUE(MID(C57,1,2))))=VALUE(MID(C57,1,2)),MONTH(DATE(M57,VALUE(MID(C57,3,2)),VALUE(MID(C57,1,2))))=VALUE(MID(C57,3,2))),DATE(M57,VALUE(MID(C57,3,2)),VALUE(MID(C57,1,2))),"")),"")</f>
        <v/>
      </c>
    </row>
    <row r="58">
      <c r="A58" s="2" t="n"/>
      <c r="B58" s="2" t="n"/>
      <c r="C58" s="3" t="n"/>
      <c r="D58" s="2" t="n"/>
      <c r="E58" s="4">
        <f>IF(A58="","",5)</f>
        <v/>
      </c>
      <c r="F58" s="2" t="n"/>
      <c r="G58" s="4" t="n"/>
      <c r="H58" s="2" t="n"/>
      <c r="I58" s="2" t="n"/>
      <c r="J58" s="2">
        <f>IF(C58="","",IF(LEN(C58)&lt;&gt;13,"Nema 13 cifara (ima "&amp;LEN(C58)&amp;")",IF(L58="","JMBG sadrži nešto što nije cifra",IF(N58="","Nepostojeći datum rođenja",IF(VALUE(MID(C58,13,1))&lt;&gt;L58,"Pogrešna kontrolna cifra - treba "&amp;L58,"✓ ispravan")))))</f>
        <v/>
      </c>
      <c r="K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L58">
        <f>IF(K58="","",IF(11-MOD(K58,11)&gt;9,0,11-MOD(K58,11)))</f>
        <v/>
      </c>
      <c r="M58">
        <f>IFERROR(IF(LEN(C58)&lt;&gt;13,"",IF(VALUE(MID(C58,5,3))&gt;=800,1000,2000)+VALUE(MID(C58,5,3))),"")</f>
        <v/>
      </c>
      <c r="N58">
        <f>IFERROR(IF(M58="","",IF(AND(DAY(DATE(M58,VALUE(MID(C58,3,2)),VALUE(MID(C58,1,2))))=VALUE(MID(C58,1,2)),MONTH(DATE(M58,VALUE(MID(C58,3,2)),VALUE(MID(C58,1,2))))=VALUE(MID(C58,3,2))),DATE(M58,VALUE(MID(C58,3,2)),VALUE(MID(C58,1,2))),"")),"")</f>
        <v/>
      </c>
    </row>
    <row r="59">
      <c r="A59" s="2" t="n"/>
      <c r="B59" s="2" t="n"/>
      <c r="C59" s="3" t="n"/>
      <c r="D59" s="2" t="n"/>
      <c r="E59" s="4">
        <f>IF(A59="","",5)</f>
        <v/>
      </c>
      <c r="F59" s="2" t="n"/>
      <c r="G59" s="4" t="n"/>
      <c r="H59" s="2" t="n"/>
      <c r="I59" s="2" t="n"/>
      <c r="J59" s="2">
        <f>IF(C59="","",IF(LEN(C59)&lt;&gt;13,"Nema 13 cifara (ima "&amp;LEN(C59)&amp;")",IF(L59="","JMBG sadrži nešto što nije cifra",IF(N59="","Nepostojeći datum rođenja",IF(VALUE(MID(C59,13,1))&lt;&gt;L59,"Pogrešna kontrolna cifra - treba "&amp;L59,"✓ ispravan")))))</f>
        <v/>
      </c>
      <c r="K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L59">
        <f>IF(K59="","",IF(11-MOD(K59,11)&gt;9,0,11-MOD(K59,11)))</f>
        <v/>
      </c>
      <c r="M59">
        <f>IFERROR(IF(LEN(C59)&lt;&gt;13,"",IF(VALUE(MID(C59,5,3))&gt;=800,1000,2000)+VALUE(MID(C59,5,3))),"")</f>
        <v/>
      </c>
      <c r="N59">
        <f>IFERROR(IF(M59="","",IF(AND(DAY(DATE(M59,VALUE(MID(C59,3,2)),VALUE(MID(C59,1,2))))=VALUE(MID(C59,1,2)),MONTH(DATE(M59,VALUE(MID(C59,3,2)),VALUE(MID(C59,1,2))))=VALUE(MID(C59,3,2))),DATE(M59,VALUE(MID(C59,3,2)),VALUE(MID(C59,1,2))),"")),"")</f>
        <v/>
      </c>
    </row>
    <row r="60">
      <c r="A60" s="2" t="n"/>
      <c r="B60" s="2" t="n"/>
      <c r="C60" s="3" t="n"/>
      <c r="D60" s="2" t="n"/>
      <c r="E60" s="4">
        <f>IF(A60="","",5)</f>
        <v/>
      </c>
      <c r="F60" s="2" t="n"/>
      <c r="G60" s="4" t="n"/>
      <c r="H60" s="2" t="n"/>
      <c r="I60" s="2" t="n"/>
      <c r="J60" s="2">
        <f>IF(C60="","",IF(LEN(C60)&lt;&gt;13,"Nema 13 cifara (ima "&amp;LEN(C60)&amp;")",IF(L60="","JMBG sadrži nešto što nije cifra",IF(N60="","Nepostojeći datum rođenja",IF(VALUE(MID(C60,13,1))&lt;&gt;L60,"Pogrešna kontrolna cifra - treba "&amp;L60,"✓ ispravan")))))</f>
        <v/>
      </c>
      <c r="K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L60">
        <f>IF(K60="","",IF(11-MOD(K60,11)&gt;9,0,11-MOD(K60,11)))</f>
        <v/>
      </c>
      <c r="M60">
        <f>IFERROR(IF(LEN(C60)&lt;&gt;13,"",IF(VALUE(MID(C60,5,3))&gt;=800,1000,2000)+VALUE(MID(C60,5,3))),"")</f>
        <v/>
      </c>
      <c r="N60">
        <f>IFERROR(IF(M60="","",IF(AND(DAY(DATE(M60,VALUE(MID(C60,3,2)),VALUE(MID(C60,1,2))))=VALUE(MID(C60,1,2)),MONTH(DATE(M60,VALUE(MID(C60,3,2)),VALUE(MID(C60,1,2))))=VALUE(MID(C60,3,2))),DATE(M60,VALUE(MID(C60,3,2)),VALUE(MID(C60,1,2))),"")),"")</f>
        <v/>
      </c>
    </row>
    <row r="61">
      <c r="A61" s="2" t="n"/>
      <c r="B61" s="2" t="n"/>
      <c r="C61" s="3" t="n"/>
      <c r="D61" s="2" t="n"/>
      <c r="E61" s="4">
        <f>IF(A61="","",5)</f>
        <v/>
      </c>
      <c r="F61" s="2" t="n"/>
      <c r="G61" s="4" t="n"/>
      <c r="H61" s="2" t="n"/>
      <c r="I61" s="2" t="n"/>
      <c r="J61" s="2">
        <f>IF(C61="","",IF(LEN(C61)&lt;&gt;13,"Nema 13 cifara (ima "&amp;LEN(C61)&amp;")",IF(L61="","JMBG sadrži nešto što nije cifra",IF(N61="","Nepostojeći datum rođenja",IF(VALUE(MID(C61,13,1))&lt;&gt;L61,"Pogrešna kontrolna cifra - treba "&amp;L61,"✓ ispravan")))))</f>
        <v/>
      </c>
      <c r="K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L61">
        <f>IF(K61="","",IF(11-MOD(K61,11)&gt;9,0,11-MOD(K61,11)))</f>
        <v/>
      </c>
      <c r="M61">
        <f>IFERROR(IF(LEN(C61)&lt;&gt;13,"",IF(VALUE(MID(C61,5,3))&gt;=800,1000,2000)+VALUE(MID(C61,5,3))),"")</f>
        <v/>
      </c>
      <c r="N61">
        <f>IFERROR(IF(M61="","",IF(AND(DAY(DATE(M61,VALUE(MID(C61,3,2)),VALUE(MID(C61,1,2))))=VALUE(MID(C61,1,2)),MONTH(DATE(M61,VALUE(MID(C61,3,2)),VALUE(MID(C61,1,2))))=VALUE(MID(C61,3,2))),DATE(M61,VALUE(MID(C61,3,2)),VALUE(MID(C61,1,2))),"")),"")</f>
        <v/>
      </c>
    </row>
    <row r="62">
      <c r="A62" s="2" t="n"/>
      <c r="B62" s="2" t="n"/>
      <c r="C62" s="3" t="n"/>
      <c r="D62" s="2" t="n"/>
      <c r="E62" s="4">
        <f>IF(A62="","",5)</f>
        <v/>
      </c>
      <c r="F62" s="2" t="n"/>
      <c r="G62" s="4" t="n"/>
      <c r="H62" s="2" t="n"/>
      <c r="I62" s="2" t="n"/>
      <c r="J62" s="2">
        <f>IF(C62="","",IF(LEN(C62)&lt;&gt;13,"Nema 13 cifara (ima "&amp;LEN(C62)&amp;")",IF(L62="","JMBG sadrži nešto što nije cifra",IF(N62="","Nepostojeći datum rođenja",IF(VALUE(MID(C62,13,1))&lt;&gt;L62,"Pogrešna kontrolna cifra - treba "&amp;L62,"✓ ispravan")))))</f>
        <v/>
      </c>
      <c r="K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L62">
        <f>IF(K62="","",IF(11-MOD(K62,11)&gt;9,0,11-MOD(K62,11)))</f>
        <v/>
      </c>
      <c r="M62">
        <f>IFERROR(IF(LEN(C62)&lt;&gt;13,"",IF(VALUE(MID(C62,5,3))&gt;=800,1000,2000)+VALUE(MID(C62,5,3))),"")</f>
        <v/>
      </c>
      <c r="N62">
        <f>IFERROR(IF(M62="","",IF(AND(DAY(DATE(M62,VALUE(MID(C62,3,2)),VALUE(MID(C62,1,2))))=VALUE(MID(C62,1,2)),MONTH(DATE(M62,VALUE(MID(C62,3,2)),VALUE(MID(C62,1,2))))=VALUE(MID(C62,3,2))),DATE(M62,VALUE(MID(C62,3,2)),VALUE(MID(C62,1,2))),"")),"")</f>
        <v/>
      </c>
    </row>
    <row r="63">
      <c r="A63" s="2" t="n"/>
      <c r="B63" s="2" t="n"/>
      <c r="C63" s="3" t="n"/>
      <c r="D63" s="2" t="n"/>
      <c r="E63" s="4">
        <f>IF(A63="","",5)</f>
        <v/>
      </c>
      <c r="F63" s="2" t="n"/>
      <c r="G63" s="4" t="n"/>
      <c r="H63" s="2" t="n"/>
      <c r="I63" s="2" t="n"/>
      <c r="J63" s="2">
        <f>IF(C63="","",IF(LEN(C63)&lt;&gt;13,"Nema 13 cifara (ima "&amp;LEN(C63)&amp;")",IF(L63="","JMBG sadrži nešto što nije cifra",IF(N63="","Nepostojeći datum rođenja",IF(VALUE(MID(C63,13,1))&lt;&gt;L63,"Pogrešna kontrolna cifra - treba "&amp;L63,"✓ ispravan")))))</f>
        <v/>
      </c>
      <c r="K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L63">
        <f>IF(K63="","",IF(11-MOD(K63,11)&gt;9,0,11-MOD(K63,11)))</f>
        <v/>
      </c>
      <c r="M63">
        <f>IFERROR(IF(LEN(C63)&lt;&gt;13,"",IF(VALUE(MID(C63,5,3))&gt;=800,1000,2000)+VALUE(MID(C63,5,3))),"")</f>
        <v/>
      </c>
      <c r="N63">
        <f>IFERROR(IF(M63="","",IF(AND(DAY(DATE(M63,VALUE(MID(C63,3,2)),VALUE(MID(C63,1,2))))=VALUE(MID(C63,1,2)),MONTH(DATE(M63,VALUE(MID(C63,3,2)),VALUE(MID(C63,1,2))))=VALUE(MID(C63,3,2))),DATE(M63,VALUE(MID(C63,3,2)),VALUE(MID(C63,1,2))),"")),"")</f>
        <v/>
      </c>
    </row>
    <row r="64">
      <c r="A64" s="2" t="n"/>
      <c r="B64" s="2" t="n"/>
      <c r="C64" s="3" t="n"/>
      <c r="D64" s="2" t="n"/>
      <c r="E64" s="4">
        <f>IF(A64="","",5)</f>
        <v/>
      </c>
      <c r="F64" s="2" t="n"/>
      <c r="G64" s="4" t="n"/>
      <c r="H64" s="2" t="n"/>
      <c r="I64" s="2" t="n"/>
      <c r="J64" s="2">
        <f>IF(C64="","",IF(LEN(C64)&lt;&gt;13,"Nema 13 cifara (ima "&amp;LEN(C64)&amp;")",IF(L64="","JMBG sadrži nešto što nije cifra",IF(N64="","Nepostojeći datum rođenja",IF(VALUE(MID(C64,13,1))&lt;&gt;L64,"Pogrešna kontrolna cifra - treba "&amp;L64,"✓ ispravan")))))</f>
        <v/>
      </c>
      <c r="K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L64">
        <f>IF(K64="","",IF(11-MOD(K64,11)&gt;9,0,11-MOD(K64,11)))</f>
        <v/>
      </c>
      <c r="M64">
        <f>IFERROR(IF(LEN(C64)&lt;&gt;13,"",IF(VALUE(MID(C64,5,3))&gt;=800,1000,2000)+VALUE(MID(C64,5,3))),"")</f>
        <v/>
      </c>
      <c r="N64">
        <f>IFERROR(IF(M64="","",IF(AND(DAY(DATE(M64,VALUE(MID(C64,3,2)),VALUE(MID(C64,1,2))))=VALUE(MID(C64,1,2)),MONTH(DATE(M64,VALUE(MID(C64,3,2)),VALUE(MID(C64,1,2))))=VALUE(MID(C64,3,2))),DATE(M64,VALUE(MID(C64,3,2)),VALUE(MID(C64,1,2))),"")),"")</f>
        <v/>
      </c>
    </row>
    <row r="65">
      <c r="A65" s="2" t="n"/>
      <c r="B65" s="2" t="n"/>
      <c r="C65" s="3" t="n"/>
      <c r="D65" s="2" t="n"/>
      <c r="E65" s="4">
        <f>IF(A65="","",5)</f>
        <v/>
      </c>
      <c r="F65" s="2" t="n"/>
      <c r="G65" s="4" t="n"/>
      <c r="H65" s="2" t="n"/>
      <c r="I65" s="2" t="n"/>
      <c r="J65" s="2">
        <f>IF(C65="","",IF(LEN(C65)&lt;&gt;13,"Nema 13 cifara (ima "&amp;LEN(C65)&amp;")",IF(L65="","JMBG sadrži nešto što nije cifra",IF(N65="","Nepostojeći datum rođenja",IF(VALUE(MID(C65,13,1))&lt;&gt;L65,"Pogrešna kontrolna cifra - treba "&amp;L65,"✓ ispravan")))))</f>
        <v/>
      </c>
      <c r="K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L65">
        <f>IF(K65="","",IF(11-MOD(K65,11)&gt;9,0,11-MOD(K65,11)))</f>
        <v/>
      </c>
      <c r="M65">
        <f>IFERROR(IF(LEN(C65)&lt;&gt;13,"",IF(VALUE(MID(C65,5,3))&gt;=800,1000,2000)+VALUE(MID(C65,5,3))),"")</f>
        <v/>
      </c>
      <c r="N65">
        <f>IFERROR(IF(M65="","",IF(AND(DAY(DATE(M65,VALUE(MID(C65,3,2)),VALUE(MID(C65,1,2))))=VALUE(MID(C65,1,2)),MONTH(DATE(M65,VALUE(MID(C65,3,2)),VALUE(MID(C65,1,2))))=VALUE(MID(C65,3,2))),DATE(M65,VALUE(MID(C65,3,2)),VALUE(MID(C65,1,2))),"")),"")</f>
        <v/>
      </c>
    </row>
    <row r="66">
      <c r="A66" s="2" t="n"/>
      <c r="B66" s="2" t="n"/>
      <c r="C66" s="3" t="n"/>
      <c r="D66" s="2" t="n"/>
      <c r="E66" s="4">
        <f>IF(A66="","",5)</f>
        <v/>
      </c>
      <c r="F66" s="2" t="n"/>
      <c r="G66" s="4" t="n"/>
      <c r="H66" s="2" t="n"/>
      <c r="I66" s="2" t="n"/>
      <c r="J66" s="2">
        <f>IF(C66="","",IF(LEN(C66)&lt;&gt;13,"Nema 13 cifara (ima "&amp;LEN(C66)&amp;")",IF(L66="","JMBG sadrži nešto što nije cifra",IF(N66="","Nepostojeći datum rođenja",IF(VALUE(MID(C66,13,1))&lt;&gt;L66,"Pogrešna kontrolna cifra - treba "&amp;L66,"✓ ispravan")))))</f>
        <v/>
      </c>
      <c r="K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L66">
        <f>IF(K66="","",IF(11-MOD(K66,11)&gt;9,0,11-MOD(K66,11)))</f>
        <v/>
      </c>
      <c r="M66">
        <f>IFERROR(IF(LEN(C66)&lt;&gt;13,"",IF(VALUE(MID(C66,5,3))&gt;=800,1000,2000)+VALUE(MID(C66,5,3))),"")</f>
        <v/>
      </c>
      <c r="N66">
        <f>IFERROR(IF(M66="","",IF(AND(DAY(DATE(M66,VALUE(MID(C66,3,2)),VALUE(MID(C66,1,2))))=VALUE(MID(C66,1,2)),MONTH(DATE(M66,VALUE(MID(C66,3,2)),VALUE(MID(C66,1,2))))=VALUE(MID(C66,3,2))),DATE(M66,VALUE(MID(C66,3,2)),VALUE(MID(C66,1,2))),"")),"")</f>
        <v/>
      </c>
    </row>
    <row r="67">
      <c r="A67" s="2" t="n"/>
      <c r="B67" s="2" t="n"/>
      <c r="C67" s="3" t="n"/>
      <c r="D67" s="2" t="n"/>
      <c r="E67" s="4">
        <f>IF(A67="","",5)</f>
        <v/>
      </c>
      <c r="F67" s="2" t="n"/>
      <c r="G67" s="4" t="n"/>
      <c r="H67" s="2" t="n"/>
      <c r="I67" s="2" t="n"/>
      <c r="J67" s="2">
        <f>IF(C67="","",IF(LEN(C67)&lt;&gt;13,"Nema 13 cifara (ima "&amp;LEN(C67)&amp;")",IF(L67="","JMBG sadrži nešto što nije cifra",IF(N67="","Nepostojeći datum rođenja",IF(VALUE(MID(C67,13,1))&lt;&gt;L67,"Pogrešna kontrolna cifra - treba "&amp;L67,"✓ ispravan")))))</f>
        <v/>
      </c>
      <c r="K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L67">
        <f>IF(K67="","",IF(11-MOD(K67,11)&gt;9,0,11-MOD(K67,11)))</f>
        <v/>
      </c>
      <c r="M67">
        <f>IFERROR(IF(LEN(C67)&lt;&gt;13,"",IF(VALUE(MID(C67,5,3))&gt;=800,1000,2000)+VALUE(MID(C67,5,3))),"")</f>
        <v/>
      </c>
      <c r="N67">
        <f>IFERROR(IF(M67="","",IF(AND(DAY(DATE(M67,VALUE(MID(C67,3,2)),VALUE(MID(C67,1,2))))=VALUE(MID(C67,1,2)),MONTH(DATE(M67,VALUE(MID(C67,3,2)),VALUE(MID(C67,1,2))))=VALUE(MID(C67,3,2))),DATE(M67,VALUE(MID(C67,3,2)),VALUE(MID(C67,1,2))),"")),"")</f>
        <v/>
      </c>
    </row>
    <row r="68">
      <c r="A68" s="2" t="n"/>
      <c r="B68" s="2" t="n"/>
      <c r="C68" s="3" t="n"/>
      <c r="D68" s="2" t="n"/>
      <c r="E68" s="4">
        <f>IF(A68="","",5)</f>
        <v/>
      </c>
      <c r="F68" s="2" t="n"/>
      <c r="G68" s="4" t="n"/>
      <c r="H68" s="2" t="n"/>
      <c r="I68" s="2" t="n"/>
      <c r="J68" s="2">
        <f>IF(C68="","",IF(LEN(C68)&lt;&gt;13,"Nema 13 cifara (ima "&amp;LEN(C68)&amp;")",IF(L68="","JMBG sadrži nešto što nije cifra",IF(N68="","Nepostojeći datum rođenja",IF(VALUE(MID(C68,13,1))&lt;&gt;L68,"Pogrešna kontrolna cifra - treba "&amp;L68,"✓ ispravan")))))</f>
        <v/>
      </c>
      <c r="K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L68">
        <f>IF(K68="","",IF(11-MOD(K68,11)&gt;9,0,11-MOD(K68,11)))</f>
        <v/>
      </c>
      <c r="M68">
        <f>IFERROR(IF(LEN(C68)&lt;&gt;13,"",IF(VALUE(MID(C68,5,3))&gt;=800,1000,2000)+VALUE(MID(C68,5,3))),"")</f>
        <v/>
      </c>
      <c r="N68">
        <f>IFERROR(IF(M68="","",IF(AND(DAY(DATE(M68,VALUE(MID(C68,3,2)),VALUE(MID(C68,1,2))))=VALUE(MID(C68,1,2)),MONTH(DATE(M68,VALUE(MID(C68,3,2)),VALUE(MID(C68,1,2))))=VALUE(MID(C68,3,2))),DATE(M68,VALUE(MID(C68,3,2)),VALUE(MID(C68,1,2))),"")),"")</f>
        <v/>
      </c>
    </row>
    <row r="69">
      <c r="A69" s="2" t="n"/>
      <c r="B69" s="2" t="n"/>
      <c r="C69" s="3" t="n"/>
      <c r="D69" s="2" t="n"/>
      <c r="E69" s="4">
        <f>IF(A69="","",5)</f>
        <v/>
      </c>
      <c r="F69" s="2" t="n"/>
      <c r="G69" s="4" t="n"/>
      <c r="H69" s="2" t="n"/>
      <c r="I69" s="2" t="n"/>
      <c r="J69" s="2">
        <f>IF(C69="","",IF(LEN(C69)&lt;&gt;13,"Nema 13 cifara (ima "&amp;LEN(C69)&amp;")",IF(L69="","JMBG sadrži nešto što nije cifra",IF(N69="","Nepostojeći datum rođenja",IF(VALUE(MID(C69,13,1))&lt;&gt;L69,"Pogrešna kontrolna cifra - treba "&amp;L69,"✓ ispravan")))))</f>
        <v/>
      </c>
      <c r="K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L69">
        <f>IF(K69="","",IF(11-MOD(K69,11)&gt;9,0,11-MOD(K69,11)))</f>
        <v/>
      </c>
      <c r="M69">
        <f>IFERROR(IF(LEN(C69)&lt;&gt;13,"",IF(VALUE(MID(C69,5,3))&gt;=800,1000,2000)+VALUE(MID(C69,5,3))),"")</f>
        <v/>
      </c>
      <c r="N69">
        <f>IFERROR(IF(M69="","",IF(AND(DAY(DATE(M69,VALUE(MID(C69,3,2)),VALUE(MID(C69,1,2))))=VALUE(MID(C69,1,2)),MONTH(DATE(M69,VALUE(MID(C69,3,2)),VALUE(MID(C69,1,2))))=VALUE(MID(C69,3,2))),DATE(M69,VALUE(MID(C69,3,2)),VALUE(MID(C69,1,2))),"")),"")</f>
        <v/>
      </c>
    </row>
    <row r="70">
      <c r="A70" s="2" t="n"/>
      <c r="B70" s="2" t="n"/>
      <c r="C70" s="3" t="n"/>
      <c r="D70" s="2" t="n"/>
      <c r="E70" s="4">
        <f>IF(A70="","",5)</f>
        <v/>
      </c>
      <c r="F70" s="2" t="n"/>
      <c r="G70" s="4" t="n"/>
      <c r="H70" s="2" t="n"/>
      <c r="I70" s="2" t="n"/>
      <c r="J70" s="2">
        <f>IF(C70="","",IF(LEN(C70)&lt;&gt;13,"Nema 13 cifara (ima "&amp;LEN(C70)&amp;")",IF(L70="","JMBG sadrži nešto što nije cifra",IF(N70="","Nepostojeći datum rođenja",IF(VALUE(MID(C70,13,1))&lt;&gt;L70,"Pogrešna kontrolna cifra - treba "&amp;L70,"✓ ispravan")))))</f>
        <v/>
      </c>
      <c r="K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L70">
        <f>IF(K70="","",IF(11-MOD(K70,11)&gt;9,0,11-MOD(K70,11)))</f>
        <v/>
      </c>
      <c r="M70">
        <f>IFERROR(IF(LEN(C70)&lt;&gt;13,"",IF(VALUE(MID(C70,5,3))&gt;=800,1000,2000)+VALUE(MID(C70,5,3))),"")</f>
        <v/>
      </c>
      <c r="N70">
        <f>IFERROR(IF(M70="","",IF(AND(DAY(DATE(M70,VALUE(MID(C70,3,2)),VALUE(MID(C70,1,2))))=VALUE(MID(C70,1,2)),MONTH(DATE(M70,VALUE(MID(C70,3,2)),VALUE(MID(C70,1,2))))=VALUE(MID(C70,3,2))),DATE(M70,VALUE(MID(C70,3,2)),VALUE(MID(C70,1,2))),"")),"")</f>
        <v/>
      </c>
    </row>
    <row r="71">
      <c r="A71" s="2" t="n"/>
      <c r="B71" s="2" t="n"/>
      <c r="C71" s="3" t="n"/>
      <c r="D71" s="2" t="n"/>
      <c r="E71" s="4">
        <f>IF(A71="","",5)</f>
        <v/>
      </c>
      <c r="F71" s="2" t="n"/>
      <c r="G71" s="4" t="n"/>
      <c r="H71" s="2" t="n"/>
      <c r="I71" s="2" t="n"/>
      <c r="J71" s="2">
        <f>IF(C71="","",IF(LEN(C71)&lt;&gt;13,"Nema 13 cifara (ima "&amp;LEN(C71)&amp;")",IF(L71="","JMBG sadrži nešto što nije cifra",IF(N71="","Nepostojeći datum rođenja",IF(VALUE(MID(C71,13,1))&lt;&gt;L71,"Pogrešna kontrolna cifra - treba "&amp;L71,"✓ ispravan")))))</f>
        <v/>
      </c>
      <c r="K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L71">
        <f>IF(K71="","",IF(11-MOD(K71,11)&gt;9,0,11-MOD(K71,11)))</f>
        <v/>
      </c>
      <c r="M71">
        <f>IFERROR(IF(LEN(C71)&lt;&gt;13,"",IF(VALUE(MID(C71,5,3))&gt;=800,1000,2000)+VALUE(MID(C71,5,3))),"")</f>
        <v/>
      </c>
      <c r="N71">
        <f>IFERROR(IF(M71="","",IF(AND(DAY(DATE(M71,VALUE(MID(C71,3,2)),VALUE(MID(C71,1,2))))=VALUE(MID(C71,1,2)),MONTH(DATE(M71,VALUE(MID(C71,3,2)),VALUE(MID(C71,1,2))))=VALUE(MID(C71,3,2))),DATE(M71,VALUE(MID(C71,3,2)),VALUE(MID(C71,1,2))),"")),"")</f>
        <v/>
      </c>
    </row>
    <row r="72">
      <c r="A72" s="2" t="n"/>
      <c r="B72" s="2" t="n"/>
      <c r="C72" s="3" t="n"/>
      <c r="D72" s="2" t="n"/>
      <c r="E72" s="4">
        <f>IF(A72="","",5)</f>
        <v/>
      </c>
      <c r="F72" s="2" t="n"/>
      <c r="G72" s="4" t="n"/>
      <c r="H72" s="2" t="n"/>
      <c r="I72" s="2" t="n"/>
      <c r="J72" s="2">
        <f>IF(C72="","",IF(LEN(C72)&lt;&gt;13,"Nema 13 cifara (ima "&amp;LEN(C72)&amp;")",IF(L72="","JMBG sadrži nešto što nije cifra",IF(N72="","Nepostojeći datum rođenja",IF(VALUE(MID(C72,13,1))&lt;&gt;L72,"Pogrešna kontrolna cifra - treba "&amp;L72,"✓ ispravan")))))</f>
        <v/>
      </c>
      <c r="K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L72">
        <f>IF(K72="","",IF(11-MOD(K72,11)&gt;9,0,11-MOD(K72,11)))</f>
        <v/>
      </c>
      <c r="M72">
        <f>IFERROR(IF(LEN(C72)&lt;&gt;13,"",IF(VALUE(MID(C72,5,3))&gt;=800,1000,2000)+VALUE(MID(C72,5,3))),"")</f>
        <v/>
      </c>
      <c r="N72">
        <f>IFERROR(IF(M72="","",IF(AND(DAY(DATE(M72,VALUE(MID(C72,3,2)),VALUE(MID(C72,1,2))))=VALUE(MID(C72,1,2)),MONTH(DATE(M72,VALUE(MID(C72,3,2)),VALUE(MID(C72,1,2))))=VALUE(MID(C72,3,2))),DATE(M72,VALUE(MID(C72,3,2)),VALUE(MID(C72,1,2))),"")),"")</f>
        <v/>
      </c>
    </row>
    <row r="73">
      <c r="A73" s="2" t="n"/>
      <c r="B73" s="2" t="n"/>
      <c r="C73" s="3" t="n"/>
      <c r="D73" s="2" t="n"/>
      <c r="E73" s="4">
        <f>IF(A73="","",5)</f>
        <v/>
      </c>
      <c r="F73" s="2" t="n"/>
      <c r="G73" s="4" t="n"/>
      <c r="H73" s="2" t="n"/>
      <c r="I73" s="2" t="n"/>
      <c r="J73" s="2">
        <f>IF(C73="","",IF(LEN(C73)&lt;&gt;13,"Nema 13 cifara (ima "&amp;LEN(C73)&amp;")",IF(L73="","JMBG sadrži nešto što nije cifra",IF(N73="","Nepostojeći datum rođenja",IF(VALUE(MID(C73,13,1))&lt;&gt;L73,"Pogrešna kontrolna cifra - treba "&amp;L73,"✓ ispravan")))))</f>
        <v/>
      </c>
      <c r="K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L73">
        <f>IF(K73="","",IF(11-MOD(K73,11)&gt;9,0,11-MOD(K73,11)))</f>
        <v/>
      </c>
      <c r="M73">
        <f>IFERROR(IF(LEN(C73)&lt;&gt;13,"",IF(VALUE(MID(C73,5,3))&gt;=800,1000,2000)+VALUE(MID(C73,5,3))),"")</f>
        <v/>
      </c>
      <c r="N73">
        <f>IFERROR(IF(M73="","",IF(AND(DAY(DATE(M73,VALUE(MID(C73,3,2)),VALUE(MID(C73,1,2))))=VALUE(MID(C73,1,2)),MONTH(DATE(M73,VALUE(MID(C73,3,2)),VALUE(MID(C73,1,2))))=VALUE(MID(C73,3,2))),DATE(M73,VALUE(MID(C73,3,2)),VALUE(MID(C73,1,2))),"")),"")</f>
        <v/>
      </c>
    </row>
    <row r="74">
      <c r="A74" s="2" t="n"/>
      <c r="B74" s="2" t="n"/>
      <c r="C74" s="3" t="n"/>
      <c r="D74" s="2" t="n"/>
      <c r="E74" s="4">
        <f>IF(A74="","",5)</f>
        <v/>
      </c>
      <c r="F74" s="2" t="n"/>
      <c r="G74" s="4" t="n"/>
      <c r="H74" s="2" t="n"/>
      <c r="I74" s="2" t="n"/>
      <c r="J74" s="2">
        <f>IF(C74="","",IF(LEN(C74)&lt;&gt;13,"Nema 13 cifara (ima "&amp;LEN(C74)&amp;")",IF(L74="","JMBG sadrži nešto što nije cifra",IF(N74="","Nepostojeći datum rođenja",IF(VALUE(MID(C74,13,1))&lt;&gt;L74,"Pogrešna kontrolna cifra - treba "&amp;L74,"✓ ispravan")))))</f>
        <v/>
      </c>
      <c r="K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L74">
        <f>IF(K74="","",IF(11-MOD(K74,11)&gt;9,0,11-MOD(K74,11)))</f>
        <v/>
      </c>
      <c r="M74">
        <f>IFERROR(IF(LEN(C74)&lt;&gt;13,"",IF(VALUE(MID(C74,5,3))&gt;=800,1000,2000)+VALUE(MID(C74,5,3))),"")</f>
        <v/>
      </c>
      <c r="N74">
        <f>IFERROR(IF(M74="","",IF(AND(DAY(DATE(M74,VALUE(MID(C74,3,2)),VALUE(MID(C74,1,2))))=VALUE(MID(C74,1,2)),MONTH(DATE(M74,VALUE(MID(C74,3,2)),VALUE(MID(C74,1,2))))=VALUE(MID(C74,3,2))),DATE(M74,VALUE(MID(C74,3,2)),VALUE(MID(C74,1,2))),"")),"")</f>
        <v/>
      </c>
    </row>
    <row r="75">
      <c r="A75" s="2" t="n"/>
      <c r="B75" s="2" t="n"/>
      <c r="C75" s="3" t="n"/>
      <c r="D75" s="2" t="n"/>
      <c r="E75" s="4">
        <f>IF(A75="","",5)</f>
        <v/>
      </c>
      <c r="F75" s="2" t="n"/>
      <c r="G75" s="4" t="n"/>
      <c r="H75" s="2" t="n"/>
      <c r="I75" s="2" t="n"/>
      <c r="J75" s="2">
        <f>IF(C75="","",IF(LEN(C75)&lt;&gt;13,"Nema 13 cifara (ima "&amp;LEN(C75)&amp;")",IF(L75="","JMBG sadrži nešto što nije cifra",IF(N75="","Nepostojeći datum rođenja",IF(VALUE(MID(C75,13,1))&lt;&gt;L75,"Pogrešna kontrolna cifra - treba "&amp;L75,"✓ ispravan")))))</f>
        <v/>
      </c>
      <c r="K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L75">
        <f>IF(K75="","",IF(11-MOD(K75,11)&gt;9,0,11-MOD(K75,11)))</f>
        <v/>
      </c>
      <c r="M75">
        <f>IFERROR(IF(LEN(C75)&lt;&gt;13,"",IF(VALUE(MID(C75,5,3))&gt;=800,1000,2000)+VALUE(MID(C75,5,3))),"")</f>
        <v/>
      </c>
      <c r="N75">
        <f>IFERROR(IF(M75="","",IF(AND(DAY(DATE(M75,VALUE(MID(C75,3,2)),VALUE(MID(C75,1,2))))=VALUE(MID(C75,1,2)),MONTH(DATE(M75,VALUE(MID(C75,3,2)),VALUE(MID(C75,1,2))))=VALUE(MID(C75,3,2))),DATE(M75,VALUE(MID(C75,3,2)),VALUE(MID(C75,1,2))),"")),"")</f>
        <v/>
      </c>
    </row>
    <row r="76">
      <c r="A76" s="2" t="n"/>
      <c r="B76" s="2" t="n"/>
      <c r="C76" s="3" t="n"/>
      <c r="D76" s="2" t="n"/>
      <c r="E76" s="4">
        <f>IF(A76="","",5)</f>
        <v/>
      </c>
      <c r="F76" s="2" t="n"/>
      <c r="G76" s="4" t="n"/>
      <c r="H76" s="2" t="n"/>
      <c r="I76" s="2" t="n"/>
      <c r="J76" s="2">
        <f>IF(C76="","",IF(LEN(C76)&lt;&gt;13,"Nema 13 cifara (ima "&amp;LEN(C76)&amp;")",IF(L76="","JMBG sadrži nešto što nije cifra",IF(N76="","Nepostojeći datum rođenja",IF(VALUE(MID(C76,13,1))&lt;&gt;L76,"Pogrešna kontrolna cifra - treba "&amp;L76,"✓ ispravan")))))</f>
        <v/>
      </c>
      <c r="K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L76">
        <f>IF(K76="","",IF(11-MOD(K76,11)&gt;9,0,11-MOD(K76,11)))</f>
        <v/>
      </c>
      <c r="M76">
        <f>IFERROR(IF(LEN(C76)&lt;&gt;13,"",IF(VALUE(MID(C76,5,3))&gt;=800,1000,2000)+VALUE(MID(C76,5,3))),"")</f>
        <v/>
      </c>
      <c r="N76">
        <f>IFERROR(IF(M76="","",IF(AND(DAY(DATE(M76,VALUE(MID(C76,3,2)),VALUE(MID(C76,1,2))))=VALUE(MID(C76,1,2)),MONTH(DATE(M76,VALUE(MID(C76,3,2)),VALUE(MID(C76,1,2))))=VALUE(MID(C76,3,2))),DATE(M76,VALUE(MID(C76,3,2)),VALUE(MID(C76,1,2))),"")),"")</f>
        <v/>
      </c>
    </row>
    <row r="77">
      <c r="A77" s="2" t="n"/>
      <c r="B77" s="2" t="n"/>
      <c r="C77" s="3" t="n"/>
      <c r="D77" s="2" t="n"/>
      <c r="E77" s="4">
        <f>IF(A77="","",5)</f>
        <v/>
      </c>
      <c r="F77" s="2" t="n"/>
      <c r="G77" s="4" t="n"/>
      <c r="H77" s="2" t="n"/>
      <c r="I77" s="2" t="n"/>
      <c r="J77" s="2">
        <f>IF(C77="","",IF(LEN(C77)&lt;&gt;13,"Nema 13 cifara (ima "&amp;LEN(C77)&amp;")",IF(L77="","JMBG sadrži nešto što nije cifra",IF(N77="","Nepostojeći datum rođenja",IF(VALUE(MID(C77,13,1))&lt;&gt;L77,"Pogrešna kontrolna cifra - treba "&amp;L77,"✓ ispravan")))))</f>
        <v/>
      </c>
      <c r="K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L77">
        <f>IF(K77="","",IF(11-MOD(K77,11)&gt;9,0,11-MOD(K77,11)))</f>
        <v/>
      </c>
      <c r="M77">
        <f>IFERROR(IF(LEN(C77)&lt;&gt;13,"",IF(VALUE(MID(C77,5,3))&gt;=800,1000,2000)+VALUE(MID(C77,5,3))),"")</f>
        <v/>
      </c>
      <c r="N77">
        <f>IFERROR(IF(M77="","",IF(AND(DAY(DATE(M77,VALUE(MID(C77,3,2)),VALUE(MID(C77,1,2))))=VALUE(MID(C77,1,2)),MONTH(DATE(M77,VALUE(MID(C77,3,2)),VALUE(MID(C77,1,2))))=VALUE(MID(C77,3,2))),DATE(M77,VALUE(MID(C77,3,2)),VALUE(MID(C77,1,2))),"")),"")</f>
        <v/>
      </c>
    </row>
    <row r="78">
      <c r="A78" s="2" t="n"/>
      <c r="B78" s="2" t="n"/>
      <c r="C78" s="3" t="n"/>
      <c r="D78" s="2" t="n"/>
      <c r="E78" s="4">
        <f>IF(A78="","",5)</f>
        <v/>
      </c>
      <c r="F78" s="2" t="n"/>
      <c r="G78" s="4" t="n"/>
      <c r="H78" s="2" t="n"/>
      <c r="I78" s="2" t="n"/>
      <c r="J78" s="2">
        <f>IF(C78="","",IF(LEN(C78)&lt;&gt;13,"Nema 13 cifara (ima "&amp;LEN(C78)&amp;")",IF(L78="","JMBG sadrži nešto što nije cifra",IF(N78="","Nepostojeći datum rođenja",IF(VALUE(MID(C78,13,1))&lt;&gt;L78,"Pogrešna kontrolna cifra - treba "&amp;L78,"✓ ispravan")))))</f>
        <v/>
      </c>
      <c r="K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L78">
        <f>IF(K78="","",IF(11-MOD(K78,11)&gt;9,0,11-MOD(K78,11)))</f>
        <v/>
      </c>
      <c r="M78">
        <f>IFERROR(IF(LEN(C78)&lt;&gt;13,"",IF(VALUE(MID(C78,5,3))&gt;=800,1000,2000)+VALUE(MID(C78,5,3))),"")</f>
        <v/>
      </c>
      <c r="N78">
        <f>IFERROR(IF(M78="","",IF(AND(DAY(DATE(M78,VALUE(MID(C78,3,2)),VALUE(MID(C78,1,2))))=VALUE(MID(C78,1,2)),MONTH(DATE(M78,VALUE(MID(C78,3,2)),VALUE(MID(C78,1,2))))=VALUE(MID(C78,3,2))),DATE(M78,VALUE(MID(C78,3,2)),VALUE(MID(C78,1,2))),"")),"")</f>
        <v/>
      </c>
    </row>
    <row r="79">
      <c r="A79" s="2" t="n"/>
      <c r="B79" s="2" t="n"/>
      <c r="C79" s="3" t="n"/>
      <c r="D79" s="2" t="n"/>
      <c r="E79" s="4">
        <f>IF(A79="","",5)</f>
        <v/>
      </c>
      <c r="F79" s="2" t="n"/>
      <c r="G79" s="4" t="n"/>
      <c r="H79" s="2" t="n"/>
      <c r="I79" s="2" t="n"/>
      <c r="J79" s="2">
        <f>IF(C79="","",IF(LEN(C79)&lt;&gt;13,"Nema 13 cifara (ima "&amp;LEN(C79)&amp;")",IF(L79="","JMBG sadrži nešto što nije cifra",IF(N79="","Nepostojeći datum rođenja",IF(VALUE(MID(C79,13,1))&lt;&gt;L79,"Pogrešna kontrolna cifra - treba "&amp;L79,"✓ ispravan")))))</f>
        <v/>
      </c>
      <c r="K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L79">
        <f>IF(K79="","",IF(11-MOD(K79,11)&gt;9,0,11-MOD(K79,11)))</f>
        <v/>
      </c>
      <c r="M79">
        <f>IFERROR(IF(LEN(C79)&lt;&gt;13,"",IF(VALUE(MID(C79,5,3))&gt;=800,1000,2000)+VALUE(MID(C79,5,3))),"")</f>
        <v/>
      </c>
      <c r="N79">
        <f>IFERROR(IF(M79="","",IF(AND(DAY(DATE(M79,VALUE(MID(C79,3,2)),VALUE(MID(C79,1,2))))=VALUE(MID(C79,1,2)),MONTH(DATE(M79,VALUE(MID(C79,3,2)),VALUE(MID(C79,1,2))))=VALUE(MID(C79,3,2))),DATE(M79,VALUE(MID(C79,3,2)),VALUE(MID(C79,1,2))),"")),"")</f>
        <v/>
      </c>
    </row>
    <row r="80">
      <c r="A80" s="2" t="n"/>
      <c r="B80" s="2" t="n"/>
      <c r="C80" s="3" t="n"/>
      <c r="D80" s="2" t="n"/>
      <c r="E80" s="4">
        <f>IF(A80="","",5)</f>
        <v/>
      </c>
      <c r="F80" s="2" t="n"/>
      <c r="G80" s="4" t="n"/>
      <c r="H80" s="2" t="n"/>
      <c r="I80" s="2" t="n"/>
      <c r="J80" s="2">
        <f>IF(C80="","",IF(LEN(C80)&lt;&gt;13,"Nema 13 cifara (ima "&amp;LEN(C80)&amp;")",IF(L80="","JMBG sadrži nešto što nije cifra",IF(N80="","Nepostojeći datum rođenja",IF(VALUE(MID(C80,13,1))&lt;&gt;L80,"Pogrešna kontrolna cifra - treba "&amp;L80,"✓ ispravan")))))</f>
        <v/>
      </c>
      <c r="K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L80">
        <f>IF(K80="","",IF(11-MOD(K80,11)&gt;9,0,11-MOD(K80,11)))</f>
        <v/>
      </c>
      <c r="M80">
        <f>IFERROR(IF(LEN(C80)&lt;&gt;13,"",IF(VALUE(MID(C80,5,3))&gt;=800,1000,2000)+VALUE(MID(C80,5,3))),"")</f>
        <v/>
      </c>
      <c r="N80">
        <f>IFERROR(IF(M80="","",IF(AND(DAY(DATE(M80,VALUE(MID(C80,3,2)),VALUE(MID(C80,1,2))))=VALUE(MID(C80,1,2)),MONTH(DATE(M80,VALUE(MID(C80,3,2)),VALUE(MID(C80,1,2))))=VALUE(MID(C80,3,2))),DATE(M80,VALUE(MID(C80,3,2)),VALUE(MID(C80,1,2))),"")),"")</f>
        <v/>
      </c>
    </row>
    <row r="81">
      <c r="A81" s="2" t="n"/>
      <c r="B81" s="2" t="n"/>
      <c r="C81" s="3" t="n"/>
      <c r="D81" s="2" t="n"/>
      <c r="E81" s="4">
        <f>IF(A81="","",5)</f>
        <v/>
      </c>
      <c r="F81" s="2" t="n"/>
      <c r="G81" s="4" t="n"/>
      <c r="H81" s="2" t="n"/>
      <c r="I81" s="2" t="n"/>
      <c r="J81" s="2">
        <f>IF(C81="","",IF(LEN(C81)&lt;&gt;13,"Nema 13 cifara (ima "&amp;LEN(C81)&amp;")",IF(L81="","JMBG sadrži nešto što nije cifra",IF(N81="","Nepostojeći datum rođenja",IF(VALUE(MID(C81,13,1))&lt;&gt;L81,"Pogrešna kontrolna cifra - treba "&amp;L81,"✓ ispravan")))))</f>
        <v/>
      </c>
      <c r="K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L81">
        <f>IF(K81="","",IF(11-MOD(K81,11)&gt;9,0,11-MOD(K81,11)))</f>
        <v/>
      </c>
      <c r="M81">
        <f>IFERROR(IF(LEN(C81)&lt;&gt;13,"",IF(VALUE(MID(C81,5,3))&gt;=800,1000,2000)+VALUE(MID(C81,5,3))),"")</f>
        <v/>
      </c>
      <c r="N81">
        <f>IFERROR(IF(M81="","",IF(AND(DAY(DATE(M81,VALUE(MID(C81,3,2)),VALUE(MID(C81,1,2))))=VALUE(MID(C81,1,2)),MONTH(DATE(M81,VALUE(MID(C81,3,2)),VALUE(MID(C81,1,2))))=VALUE(MID(C81,3,2))),DATE(M81,VALUE(MID(C81,3,2)),VALUE(MID(C81,1,2))),"")),"")</f>
        <v/>
      </c>
    </row>
    <row r="82">
      <c r="A82" s="2" t="n"/>
      <c r="B82" s="2" t="n"/>
      <c r="C82" s="3" t="n"/>
      <c r="D82" s="2" t="n"/>
      <c r="E82" s="4">
        <f>IF(A82="","",5)</f>
        <v/>
      </c>
      <c r="F82" s="2" t="n"/>
      <c r="G82" s="4" t="n"/>
      <c r="H82" s="2" t="n"/>
      <c r="I82" s="2" t="n"/>
      <c r="J82" s="2">
        <f>IF(C82="","",IF(LEN(C82)&lt;&gt;13,"Nema 13 cifara (ima "&amp;LEN(C82)&amp;")",IF(L82="","JMBG sadrži nešto što nije cifra",IF(N82="","Nepostojeći datum rođenja",IF(VALUE(MID(C82,13,1))&lt;&gt;L82,"Pogrešna kontrolna cifra - treba "&amp;L82,"✓ ispravan")))))</f>
        <v/>
      </c>
      <c r="K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L82">
        <f>IF(K82="","",IF(11-MOD(K82,11)&gt;9,0,11-MOD(K82,11)))</f>
        <v/>
      </c>
      <c r="M82">
        <f>IFERROR(IF(LEN(C82)&lt;&gt;13,"",IF(VALUE(MID(C82,5,3))&gt;=800,1000,2000)+VALUE(MID(C82,5,3))),"")</f>
        <v/>
      </c>
      <c r="N82">
        <f>IFERROR(IF(M82="","",IF(AND(DAY(DATE(M82,VALUE(MID(C82,3,2)),VALUE(MID(C82,1,2))))=VALUE(MID(C82,1,2)),MONTH(DATE(M82,VALUE(MID(C82,3,2)),VALUE(MID(C82,1,2))))=VALUE(MID(C82,3,2))),DATE(M82,VALUE(MID(C82,3,2)),VALUE(MID(C82,1,2))),"")),"")</f>
        <v/>
      </c>
    </row>
    <row r="83">
      <c r="A83" s="2" t="n"/>
      <c r="B83" s="2" t="n"/>
      <c r="C83" s="3" t="n"/>
      <c r="D83" s="2" t="n"/>
      <c r="E83" s="4">
        <f>IF(A83="","",5)</f>
        <v/>
      </c>
      <c r="F83" s="2" t="n"/>
      <c r="G83" s="4" t="n"/>
      <c r="H83" s="2" t="n"/>
      <c r="I83" s="2" t="n"/>
      <c r="J83" s="2">
        <f>IF(C83="","",IF(LEN(C83)&lt;&gt;13,"Nema 13 cifara (ima "&amp;LEN(C83)&amp;")",IF(L83="","JMBG sadrži nešto što nije cifra",IF(N83="","Nepostojeći datum rođenja",IF(VALUE(MID(C83,13,1))&lt;&gt;L83,"Pogrešna kontrolna cifra - treba "&amp;L83,"✓ ispravan")))))</f>
        <v/>
      </c>
      <c r="K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L83">
        <f>IF(K83="","",IF(11-MOD(K83,11)&gt;9,0,11-MOD(K83,11)))</f>
        <v/>
      </c>
      <c r="M83">
        <f>IFERROR(IF(LEN(C83)&lt;&gt;13,"",IF(VALUE(MID(C83,5,3))&gt;=800,1000,2000)+VALUE(MID(C83,5,3))),"")</f>
        <v/>
      </c>
      <c r="N83">
        <f>IFERROR(IF(M83="","",IF(AND(DAY(DATE(M83,VALUE(MID(C83,3,2)),VALUE(MID(C83,1,2))))=VALUE(MID(C83,1,2)),MONTH(DATE(M83,VALUE(MID(C83,3,2)),VALUE(MID(C83,1,2))))=VALUE(MID(C83,3,2))),DATE(M83,VALUE(MID(C83,3,2)),VALUE(MID(C83,1,2))),"")),"")</f>
        <v/>
      </c>
    </row>
    <row r="84">
      <c r="A84" s="2" t="n"/>
      <c r="B84" s="2" t="n"/>
      <c r="C84" s="3" t="n"/>
      <c r="D84" s="2" t="n"/>
      <c r="E84" s="4">
        <f>IF(A84="","",5)</f>
        <v/>
      </c>
      <c r="F84" s="2" t="n"/>
      <c r="G84" s="4" t="n"/>
      <c r="H84" s="2" t="n"/>
      <c r="I84" s="2" t="n"/>
      <c r="J84" s="2">
        <f>IF(C84="","",IF(LEN(C84)&lt;&gt;13,"Nema 13 cifara (ima "&amp;LEN(C84)&amp;")",IF(L84="","JMBG sadrži nešto što nije cifra",IF(N84="","Nepostojeći datum rođenja",IF(VALUE(MID(C84,13,1))&lt;&gt;L84,"Pogrešna kontrolna cifra - treba "&amp;L84,"✓ ispravan")))))</f>
        <v/>
      </c>
      <c r="K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L84">
        <f>IF(K84="","",IF(11-MOD(K84,11)&gt;9,0,11-MOD(K84,11)))</f>
        <v/>
      </c>
      <c r="M84">
        <f>IFERROR(IF(LEN(C84)&lt;&gt;13,"",IF(VALUE(MID(C84,5,3))&gt;=800,1000,2000)+VALUE(MID(C84,5,3))),"")</f>
        <v/>
      </c>
      <c r="N84">
        <f>IFERROR(IF(M84="","",IF(AND(DAY(DATE(M84,VALUE(MID(C84,3,2)),VALUE(MID(C84,1,2))))=VALUE(MID(C84,1,2)),MONTH(DATE(M84,VALUE(MID(C84,3,2)),VALUE(MID(C84,1,2))))=VALUE(MID(C84,3,2))),DATE(M84,VALUE(MID(C84,3,2)),VALUE(MID(C84,1,2))),"")),"")</f>
        <v/>
      </c>
    </row>
    <row r="85">
      <c r="A85" s="2" t="n"/>
      <c r="B85" s="2" t="n"/>
      <c r="C85" s="3" t="n"/>
      <c r="D85" s="2" t="n"/>
      <c r="E85" s="4">
        <f>IF(A85="","",5)</f>
        <v/>
      </c>
      <c r="F85" s="2" t="n"/>
      <c r="G85" s="4" t="n"/>
      <c r="H85" s="2" t="n"/>
      <c r="I85" s="2" t="n"/>
      <c r="J85" s="2">
        <f>IF(C85="","",IF(LEN(C85)&lt;&gt;13,"Nema 13 cifara (ima "&amp;LEN(C85)&amp;")",IF(L85="","JMBG sadrži nešto što nije cifra",IF(N85="","Nepostojeći datum rođenja",IF(VALUE(MID(C85,13,1))&lt;&gt;L85,"Pogrešna kontrolna cifra - treba "&amp;L85,"✓ ispravan")))))</f>
        <v/>
      </c>
      <c r="K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L85">
        <f>IF(K85="","",IF(11-MOD(K85,11)&gt;9,0,11-MOD(K85,11)))</f>
        <v/>
      </c>
      <c r="M85">
        <f>IFERROR(IF(LEN(C85)&lt;&gt;13,"",IF(VALUE(MID(C85,5,3))&gt;=800,1000,2000)+VALUE(MID(C85,5,3))),"")</f>
        <v/>
      </c>
      <c r="N85">
        <f>IFERROR(IF(M85="","",IF(AND(DAY(DATE(M85,VALUE(MID(C85,3,2)),VALUE(MID(C85,1,2))))=VALUE(MID(C85,1,2)),MONTH(DATE(M85,VALUE(MID(C85,3,2)),VALUE(MID(C85,1,2))))=VALUE(MID(C85,3,2))),DATE(M85,VALUE(MID(C85,3,2)),VALUE(MID(C85,1,2))),"")),"")</f>
        <v/>
      </c>
    </row>
    <row r="86">
      <c r="A86" s="2" t="n"/>
      <c r="B86" s="2" t="n"/>
      <c r="C86" s="3" t="n"/>
      <c r="D86" s="2" t="n"/>
      <c r="E86" s="4">
        <f>IF(A86="","",5)</f>
        <v/>
      </c>
      <c r="F86" s="2" t="n"/>
      <c r="G86" s="4" t="n"/>
      <c r="H86" s="2" t="n"/>
      <c r="I86" s="2" t="n"/>
      <c r="J86" s="2">
        <f>IF(C86="","",IF(LEN(C86)&lt;&gt;13,"Nema 13 cifara (ima "&amp;LEN(C86)&amp;")",IF(L86="","JMBG sadrži nešto što nije cifra",IF(N86="","Nepostojeći datum rođenja",IF(VALUE(MID(C86,13,1))&lt;&gt;L86,"Pogrešna kontrolna cifra - treba "&amp;L86,"✓ ispravan")))))</f>
        <v/>
      </c>
      <c r="K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L86">
        <f>IF(K86="","",IF(11-MOD(K86,11)&gt;9,0,11-MOD(K86,11)))</f>
        <v/>
      </c>
      <c r="M86">
        <f>IFERROR(IF(LEN(C86)&lt;&gt;13,"",IF(VALUE(MID(C86,5,3))&gt;=800,1000,2000)+VALUE(MID(C86,5,3))),"")</f>
        <v/>
      </c>
      <c r="N86">
        <f>IFERROR(IF(M86="","",IF(AND(DAY(DATE(M86,VALUE(MID(C86,3,2)),VALUE(MID(C86,1,2))))=VALUE(MID(C86,1,2)),MONTH(DATE(M86,VALUE(MID(C86,3,2)),VALUE(MID(C86,1,2))))=VALUE(MID(C86,3,2))),DATE(M86,VALUE(MID(C86,3,2)),VALUE(MID(C86,1,2))),"")),"")</f>
        <v/>
      </c>
    </row>
    <row r="87">
      <c r="A87" s="2" t="n"/>
      <c r="B87" s="2" t="n"/>
      <c r="C87" s="3" t="n"/>
      <c r="D87" s="2" t="n"/>
      <c r="E87" s="4">
        <f>IF(A87="","",5)</f>
        <v/>
      </c>
      <c r="F87" s="2" t="n"/>
      <c r="G87" s="4" t="n"/>
      <c r="H87" s="2" t="n"/>
      <c r="I87" s="2" t="n"/>
      <c r="J87" s="2">
        <f>IF(C87="","",IF(LEN(C87)&lt;&gt;13,"Nema 13 cifara (ima "&amp;LEN(C87)&amp;")",IF(L87="","JMBG sadrži nešto što nije cifra",IF(N87="","Nepostojeći datum rođenja",IF(VALUE(MID(C87,13,1))&lt;&gt;L87,"Pogrešna kontrolna cifra - treba "&amp;L87,"✓ ispravan")))))</f>
        <v/>
      </c>
      <c r="K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L87">
        <f>IF(K87="","",IF(11-MOD(K87,11)&gt;9,0,11-MOD(K87,11)))</f>
        <v/>
      </c>
      <c r="M87">
        <f>IFERROR(IF(LEN(C87)&lt;&gt;13,"",IF(VALUE(MID(C87,5,3))&gt;=800,1000,2000)+VALUE(MID(C87,5,3))),"")</f>
        <v/>
      </c>
      <c r="N87">
        <f>IFERROR(IF(M87="","",IF(AND(DAY(DATE(M87,VALUE(MID(C87,3,2)),VALUE(MID(C87,1,2))))=VALUE(MID(C87,1,2)),MONTH(DATE(M87,VALUE(MID(C87,3,2)),VALUE(MID(C87,1,2))))=VALUE(MID(C87,3,2))),DATE(M87,VALUE(MID(C87,3,2)),VALUE(MID(C87,1,2))),"")),"")</f>
        <v/>
      </c>
    </row>
    <row r="88">
      <c r="A88" s="2" t="n"/>
      <c r="B88" s="2" t="n"/>
      <c r="C88" s="3" t="n"/>
      <c r="D88" s="2" t="n"/>
      <c r="E88" s="4">
        <f>IF(A88="","",5)</f>
        <v/>
      </c>
      <c r="F88" s="2" t="n"/>
      <c r="G88" s="4" t="n"/>
      <c r="H88" s="2" t="n"/>
      <c r="I88" s="2" t="n"/>
      <c r="J88" s="2">
        <f>IF(C88="","",IF(LEN(C88)&lt;&gt;13,"Nema 13 cifara (ima "&amp;LEN(C88)&amp;")",IF(L88="","JMBG sadrži nešto što nije cifra",IF(N88="","Nepostojeći datum rođenja",IF(VALUE(MID(C88,13,1))&lt;&gt;L88,"Pogrešna kontrolna cifra - treba "&amp;L88,"✓ ispravan")))))</f>
        <v/>
      </c>
      <c r="K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L88">
        <f>IF(K88="","",IF(11-MOD(K88,11)&gt;9,0,11-MOD(K88,11)))</f>
        <v/>
      </c>
      <c r="M88">
        <f>IFERROR(IF(LEN(C88)&lt;&gt;13,"",IF(VALUE(MID(C88,5,3))&gt;=800,1000,2000)+VALUE(MID(C88,5,3))),"")</f>
        <v/>
      </c>
      <c r="N88">
        <f>IFERROR(IF(M88="","",IF(AND(DAY(DATE(M88,VALUE(MID(C88,3,2)),VALUE(MID(C88,1,2))))=VALUE(MID(C88,1,2)),MONTH(DATE(M88,VALUE(MID(C88,3,2)),VALUE(MID(C88,1,2))))=VALUE(MID(C88,3,2))),DATE(M88,VALUE(MID(C88,3,2)),VALUE(MID(C88,1,2))),"")),"")</f>
        <v/>
      </c>
    </row>
    <row r="89">
      <c r="A89" s="2" t="n"/>
      <c r="B89" s="2" t="n"/>
      <c r="C89" s="3" t="n"/>
      <c r="D89" s="2" t="n"/>
      <c r="E89" s="4">
        <f>IF(A89="","",5)</f>
        <v/>
      </c>
      <c r="F89" s="2" t="n"/>
      <c r="G89" s="4" t="n"/>
      <c r="H89" s="2" t="n"/>
      <c r="I89" s="2" t="n"/>
      <c r="J89" s="2">
        <f>IF(C89="","",IF(LEN(C89)&lt;&gt;13,"Nema 13 cifara (ima "&amp;LEN(C89)&amp;")",IF(L89="","JMBG sadrži nešto što nije cifra",IF(N89="","Nepostojeći datum rođenja",IF(VALUE(MID(C89,13,1))&lt;&gt;L89,"Pogrešna kontrolna cifra - treba "&amp;L89,"✓ ispravan")))))</f>
        <v/>
      </c>
      <c r="K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L89">
        <f>IF(K89="","",IF(11-MOD(K89,11)&gt;9,0,11-MOD(K89,11)))</f>
        <v/>
      </c>
      <c r="M89">
        <f>IFERROR(IF(LEN(C89)&lt;&gt;13,"",IF(VALUE(MID(C89,5,3))&gt;=800,1000,2000)+VALUE(MID(C89,5,3))),"")</f>
        <v/>
      </c>
      <c r="N89">
        <f>IFERROR(IF(M89="","",IF(AND(DAY(DATE(M89,VALUE(MID(C89,3,2)),VALUE(MID(C89,1,2))))=VALUE(MID(C89,1,2)),MONTH(DATE(M89,VALUE(MID(C89,3,2)),VALUE(MID(C89,1,2))))=VALUE(MID(C89,3,2))),DATE(M89,VALUE(MID(C89,3,2)),VALUE(MID(C89,1,2))),"")),"")</f>
        <v/>
      </c>
    </row>
    <row r="90">
      <c r="A90" s="2" t="n"/>
      <c r="B90" s="2" t="n"/>
      <c r="C90" s="3" t="n"/>
      <c r="D90" s="2" t="n"/>
      <c r="E90" s="4">
        <f>IF(A90="","",5)</f>
        <v/>
      </c>
      <c r="F90" s="2" t="n"/>
      <c r="G90" s="4" t="n"/>
      <c r="H90" s="2" t="n"/>
      <c r="I90" s="2" t="n"/>
      <c r="J90" s="2">
        <f>IF(C90="","",IF(LEN(C90)&lt;&gt;13,"Nema 13 cifara (ima "&amp;LEN(C90)&amp;")",IF(L90="","JMBG sadrži nešto što nije cifra",IF(N90="","Nepostojeći datum rođenja",IF(VALUE(MID(C90,13,1))&lt;&gt;L90,"Pogrešna kontrolna cifra - treba "&amp;L90,"✓ ispravan")))))</f>
        <v/>
      </c>
      <c r="K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L90">
        <f>IF(K90="","",IF(11-MOD(K90,11)&gt;9,0,11-MOD(K90,11)))</f>
        <v/>
      </c>
      <c r="M90">
        <f>IFERROR(IF(LEN(C90)&lt;&gt;13,"",IF(VALUE(MID(C90,5,3))&gt;=800,1000,2000)+VALUE(MID(C90,5,3))),"")</f>
        <v/>
      </c>
      <c r="N90">
        <f>IFERROR(IF(M90="","",IF(AND(DAY(DATE(M90,VALUE(MID(C90,3,2)),VALUE(MID(C90,1,2))))=VALUE(MID(C90,1,2)),MONTH(DATE(M90,VALUE(MID(C90,3,2)),VALUE(MID(C90,1,2))))=VALUE(MID(C90,3,2))),DATE(M90,VALUE(MID(C90,3,2)),VALUE(MID(C90,1,2))),"")),"")</f>
        <v/>
      </c>
    </row>
    <row r="91">
      <c r="A91" s="2" t="n"/>
      <c r="B91" s="2" t="n"/>
      <c r="C91" s="3" t="n"/>
      <c r="D91" s="2" t="n"/>
      <c r="E91" s="4">
        <f>IF(A91="","",5)</f>
        <v/>
      </c>
      <c r="F91" s="2" t="n"/>
      <c r="G91" s="4" t="n"/>
      <c r="H91" s="2" t="n"/>
      <c r="I91" s="2" t="n"/>
      <c r="J91" s="2">
        <f>IF(C91="","",IF(LEN(C91)&lt;&gt;13,"Nema 13 cifara (ima "&amp;LEN(C91)&amp;")",IF(L91="","JMBG sadrži nešto što nije cifra",IF(N91="","Nepostojeći datum rođenja",IF(VALUE(MID(C91,13,1))&lt;&gt;L91,"Pogrešna kontrolna cifra - treba "&amp;L91,"✓ ispravan")))))</f>
        <v/>
      </c>
      <c r="K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L91">
        <f>IF(K91="","",IF(11-MOD(K91,11)&gt;9,0,11-MOD(K91,11)))</f>
        <v/>
      </c>
      <c r="M91">
        <f>IFERROR(IF(LEN(C91)&lt;&gt;13,"",IF(VALUE(MID(C91,5,3))&gt;=800,1000,2000)+VALUE(MID(C91,5,3))),"")</f>
        <v/>
      </c>
      <c r="N91">
        <f>IFERROR(IF(M91="","",IF(AND(DAY(DATE(M91,VALUE(MID(C91,3,2)),VALUE(MID(C91,1,2))))=VALUE(MID(C91,1,2)),MONTH(DATE(M91,VALUE(MID(C91,3,2)),VALUE(MID(C91,1,2))))=VALUE(MID(C91,3,2))),DATE(M91,VALUE(MID(C91,3,2)),VALUE(MID(C91,1,2))),"")),"")</f>
        <v/>
      </c>
    </row>
    <row r="92">
      <c r="A92" s="2" t="n"/>
      <c r="B92" s="2" t="n"/>
      <c r="C92" s="3" t="n"/>
      <c r="D92" s="2" t="n"/>
      <c r="E92" s="4">
        <f>IF(A92="","",5)</f>
        <v/>
      </c>
      <c r="F92" s="2" t="n"/>
      <c r="G92" s="4" t="n"/>
      <c r="H92" s="2" t="n"/>
      <c r="I92" s="2" t="n"/>
      <c r="J92" s="2">
        <f>IF(C92="","",IF(LEN(C92)&lt;&gt;13,"Nema 13 cifara (ima "&amp;LEN(C92)&amp;")",IF(L92="","JMBG sadrži nešto što nije cifra",IF(N92="","Nepostojeći datum rođenja",IF(VALUE(MID(C92,13,1))&lt;&gt;L92,"Pogrešna kontrolna cifra - treba "&amp;L92,"✓ ispravan")))))</f>
        <v/>
      </c>
      <c r="K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L92">
        <f>IF(K92="","",IF(11-MOD(K92,11)&gt;9,0,11-MOD(K92,11)))</f>
        <v/>
      </c>
      <c r="M92">
        <f>IFERROR(IF(LEN(C92)&lt;&gt;13,"",IF(VALUE(MID(C92,5,3))&gt;=800,1000,2000)+VALUE(MID(C92,5,3))),"")</f>
        <v/>
      </c>
      <c r="N92">
        <f>IFERROR(IF(M92="","",IF(AND(DAY(DATE(M92,VALUE(MID(C92,3,2)),VALUE(MID(C92,1,2))))=VALUE(MID(C92,1,2)),MONTH(DATE(M92,VALUE(MID(C92,3,2)),VALUE(MID(C92,1,2))))=VALUE(MID(C92,3,2))),DATE(M92,VALUE(MID(C92,3,2)),VALUE(MID(C92,1,2))),"")),"")</f>
        <v/>
      </c>
    </row>
    <row r="93">
      <c r="A93" s="2" t="n"/>
      <c r="B93" s="2" t="n"/>
      <c r="C93" s="3" t="n"/>
      <c r="D93" s="2" t="n"/>
      <c r="E93" s="4">
        <f>IF(A93="","",5)</f>
        <v/>
      </c>
      <c r="F93" s="2" t="n"/>
      <c r="G93" s="4" t="n"/>
      <c r="H93" s="2" t="n"/>
      <c r="I93" s="2" t="n"/>
      <c r="J93" s="2">
        <f>IF(C93="","",IF(LEN(C93)&lt;&gt;13,"Nema 13 cifara (ima "&amp;LEN(C93)&amp;")",IF(L93="","JMBG sadrži nešto što nije cifra",IF(N93="","Nepostojeći datum rođenja",IF(VALUE(MID(C93,13,1))&lt;&gt;L93,"Pogrešna kontrolna cifra - treba "&amp;L93,"✓ ispravan")))))</f>
        <v/>
      </c>
      <c r="K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L93">
        <f>IF(K93="","",IF(11-MOD(K93,11)&gt;9,0,11-MOD(K93,11)))</f>
        <v/>
      </c>
      <c r="M93">
        <f>IFERROR(IF(LEN(C93)&lt;&gt;13,"",IF(VALUE(MID(C93,5,3))&gt;=800,1000,2000)+VALUE(MID(C93,5,3))),"")</f>
        <v/>
      </c>
      <c r="N93">
        <f>IFERROR(IF(M93="","",IF(AND(DAY(DATE(M93,VALUE(MID(C93,3,2)),VALUE(MID(C93,1,2))))=VALUE(MID(C93,1,2)),MONTH(DATE(M93,VALUE(MID(C93,3,2)),VALUE(MID(C93,1,2))))=VALUE(MID(C93,3,2))),DATE(M93,VALUE(MID(C93,3,2)),VALUE(MID(C93,1,2))),"")),"")</f>
        <v/>
      </c>
    </row>
    <row r="94">
      <c r="A94" s="2" t="n"/>
      <c r="B94" s="2" t="n"/>
      <c r="C94" s="3" t="n"/>
      <c r="D94" s="2" t="n"/>
      <c r="E94" s="4">
        <f>IF(A94="","",5)</f>
        <v/>
      </c>
      <c r="F94" s="2" t="n"/>
      <c r="G94" s="4" t="n"/>
      <c r="H94" s="2" t="n"/>
      <c r="I94" s="2" t="n"/>
      <c r="J94" s="2">
        <f>IF(C94="","",IF(LEN(C94)&lt;&gt;13,"Nema 13 cifara (ima "&amp;LEN(C94)&amp;")",IF(L94="","JMBG sadrži nešto što nije cifra",IF(N94="","Nepostojeći datum rođenja",IF(VALUE(MID(C94,13,1))&lt;&gt;L94,"Pogrešna kontrolna cifra - treba "&amp;L94,"✓ ispravan")))))</f>
        <v/>
      </c>
      <c r="K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L94">
        <f>IF(K94="","",IF(11-MOD(K94,11)&gt;9,0,11-MOD(K94,11)))</f>
        <v/>
      </c>
      <c r="M94">
        <f>IFERROR(IF(LEN(C94)&lt;&gt;13,"",IF(VALUE(MID(C94,5,3))&gt;=800,1000,2000)+VALUE(MID(C94,5,3))),"")</f>
        <v/>
      </c>
      <c r="N94">
        <f>IFERROR(IF(M94="","",IF(AND(DAY(DATE(M94,VALUE(MID(C94,3,2)),VALUE(MID(C94,1,2))))=VALUE(MID(C94,1,2)),MONTH(DATE(M94,VALUE(MID(C94,3,2)),VALUE(MID(C94,1,2))))=VALUE(MID(C94,3,2))),DATE(M94,VALUE(MID(C94,3,2)),VALUE(MID(C94,1,2))),"")),"")</f>
        <v/>
      </c>
    </row>
    <row r="95">
      <c r="A95" s="2" t="n"/>
      <c r="B95" s="2" t="n"/>
      <c r="C95" s="3" t="n"/>
      <c r="D95" s="2" t="n"/>
      <c r="E95" s="4">
        <f>IF(A95="","",5)</f>
        <v/>
      </c>
      <c r="F95" s="2" t="n"/>
      <c r="G95" s="4" t="n"/>
      <c r="H95" s="2" t="n"/>
      <c r="I95" s="2" t="n"/>
      <c r="J95" s="2">
        <f>IF(C95="","",IF(LEN(C95)&lt;&gt;13,"Nema 13 cifara (ima "&amp;LEN(C95)&amp;")",IF(L95="","JMBG sadrži nešto što nije cifra",IF(N95="","Nepostojeći datum rođenja",IF(VALUE(MID(C95,13,1))&lt;&gt;L95,"Pogrešna kontrolna cifra - treba "&amp;L95,"✓ ispravan")))))</f>
        <v/>
      </c>
      <c r="K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L95">
        <f>IF(K95="","",IF(11-MOD(K95,11)&gt;9,0,11-MOD(K95,11)))</f>
        <v/>
      </c>
      <c r="M95">
        <f>IFERROR(IF(LEN(C95)&lt;&gt;13,"",IF(VALUE(MID(C95,5,3))&gt;=800,1000,2000)+VALUE(MID(C95,5,3))),"")</f>
        <v/>
      </c>
      <c r="N95">
        <f>IFERROR(IF(M95="","",IF(AND(DAY(DATE(M95,VALUE(MID(C95,3,2)),VALUE(MID(C95,1,2))))=VALUE(MID(C95,1,2)),MONTH(DATE(M95,VALUE(MID(C95,3,2)),VALUE(MID(C95,1,2))))=VALUE(MID(C95,3,2))),DATE(M95,VALUE(MID(C95,3,2)),VALUE(MID(C95,1,2))),"")),"")</f>
        <v/>
      </c>
    </row>
    <row r="96">
      <c r="A96" s="2" t="n"/>
      <c r="B96" s="2" t="n"/>
      <c r="C96" s="3" t="n"/>
      <c r="D96" s="2" t="n"/>
      <c r="E96" s="4">
        <f>IF(A96="","",5)</f>
        <v/>
      </c>
      <c r="F96" s="2" t="n"/>
      <c r="G96" s="4" t="n"/>
      <c r="H96" s="2" t="n"/>
      <c r="I96" s="2" t="n"/>
      <c r="J96" s="2">
        <f>IF(C96="","",IF(LEN(C96)&lt;&gt;13,"Nema 13 cifara (ima "&amp;LEN(C96)&amp;")",IF(L96="","JMBG sadrži nešto što nije cifra",IF(N96="","Nepostojeći datum rođenja",IF(VALUE(MID(C96,13,1))&lt;&gt;L96,"Pogrešna kontrolna cifra - treba "&amp;L96,"✓ ispravan")))))</f>
        <v/>
      </c>
      <c r="K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L96">
        <f>IF(K96="","",IF(11-MOD(K96,11)&gt;9,0,11-MOD(K96,11)))</f>
        <v/>
      </c>
      <c r="M96">
        <f>IFERROR(IF(LEN(C96)&lt;&gt;13,"",IF(VALUE(MID(C96,5,3))&gt;=800,1000,2000)+VALUE(MID(C96,5,3))),"")</f>
        <v/>
      </c>
      <c r="N96">
        <f>IFERROR(IF(M96="","",IF(AND(DAY(DATE(M96,VALUE(MID(C96,3,2)),VALUE(MID(C96,1,2))))=VALUE(MID(C96,1,2)),MONTH(DATE(M96,VALUE(MID(C96,3,2)),VALUE(MID(C96,1,2))))=VALUE(MID(C96,3,2))),DATE(M96,VALUE(MID(C96,3,2)),VALUE(MID(C96,1,2))),"")),"")</f>
        <v/>
      </c>
    </row>
    <row r="97">
      <c r="A97" s="2" t="n"/>
      <c r="B97" s="2" t="n"/>
      <c r="C97" s="3" t="n"/>
      <c r="D97" s="2" t="n"/>
      <c r="E97" s="4">
        <f>IF(A97="","",5)</f>
        <v/>
      </c>
      <c r="F97" s="2" t="n"/>
      <c r="G97" s="4" t="n"/>
      <c r="H97" s="2" t="n"/>
      <c r="I97" s="2" t="n"/>
      <c r="J97" s="2">
        <f>IF(C97="","",IF(LEN(C97)&lt;&gt;13,"Nema 13 cifara (ima "&amp;LEN(C97)&amp;")",IF(L97="","JMBG sadrži nešto što nije cifra",IF(N97="","Nepostojeći datum rođenja",IF(VALUE(MID(C97,13,1))&lt;&gt;L97,"Pogrešna kontrolna cifra - treba "&amp;L97,"✓ ispravan")))))</f>
        <v/>
      </c>
      <c r="K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L97">
        <f>IF(K97="","",IF(11-MOD(K97,11)&gt;9,0,11-MOD(K97,11)))</f>
        <v/>
      </c>
      <c r="M97">
        <f>IFERROR(IF(LEN(C97)&lt;&gt;13,"",IF(VALUE(MID(C97,5,3))&gt;=800,1000,2000)+VALUE(MID(C97,5,3))),"")</f>
        <v/>
      </c>
      <c r="N97">
        <f>IFERROR(IF(M97="","",IF(AND(DAY(DATE(M97,VALUE(MID(C97,3,2)),VALUE(MID(C97,1,2))))=VALUE(MID(C97,1,2)),MONTH(DATE(M97,VALUE(MID(C97,3,2)),VALUE(MID(C97,1,2))))=VALUE(MID(C97,3,2))),DATE(M97,VALUE(MID(C97,3,2)),VALUE(MID(C97,1,2))),"")),"")</f>
        <v/>
      </c>
    </row>
    <row r="98">
      <c r="A98" s="2" t="n"/>
      <c r="B98" s="2" t="n"/>
      <c r="C98" s="3" t="n"/>
      <c r="D98" s="2" t="n"/>
      <c r="E98" s="4">
        <f>IF(A98="","",5)</f>
        <v/>
      </c>
      <c r="F98" s="2" t="n"/>
      <c r="G98" s="4" t="n"/>
      <c r="H98" s="2" t="n"/>
      <c r="I98" s="2" t="n"/>
      <c r="J98" s="2">
        <f>IF(C98="","",IF(LEN(C98)&lt;&gt;13,"Nema 13 cifara (ima "&amp;LEN(C98)&amp;")",IF(L98="","JMBG sadrži nešto što nije cifra",IF(N98="","Nepostojeći datum rođenja",IF(VALUE(MID(C98,13,1))&lt;&gt;L98,"Pogrešna kontrolna cifra - treba "&amp;L98,"✓ ispravan")))))</f>
        <v/>
      </c>
      <c r="K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L98">
        <f>IF(K98="","",IF(11-MOD(K98,11)&gt;9,0,11-MOD(K98,11)))</f>
        <v/>
      </c>
      <c r="M98">
        <f>IFERROR(IF(LEN(C98)&lt;&gt;13,"",IF(VALUE(MID(C98,5,3))&gt;=800,1000,2000)+VALUE(MID(C98,5,3))),"")</f>
        <v/>
      </c>
      <c r="N98">
        <f>IFERROR(IF(M98="","",IF(AND(DAY(DATE(M98,VALUE(MID(C98,3,2)),VALUE(MID(C98,1,2))))=VALUE(MID(C98,1,2)),MONTH(DATE(M98,VALUE(MID(C98,3,2)),VALUE(MID(C98,1,2))))=VALUE(MID(C98,3,2))),DATE(M98,VALUE(MID(C98,3,2)),VALUE(MID(C98,1,2))),"")),"")</f>
        <v/>
      </c>
    </row>
    <row r="99">
      <c r="A99" s="2" t="n"/>
      <c r="B99" s="2" t="n"/>
      <c r="C99" s="3" t="n"/>
      <c r="D99" s="2" t="n"/>
      <c r="E99" s="4">
        <f>IF(A99="","",5)</f>
        <v/>
      </c>
      <c r="F99" s="2" t="n"/>
      <c r="G99" s="4" t="n"/>
      <c r="H99" s="2" t="n"/>
      <c r="I99" s="2" t="n"/>
      <c r="J99" s="2">
        <f>IF(C99="","",IF(LEN(C99)&lt;&gt;13,"Nema 13 cifara (ima "&amp;LEN(C99)&amp;")",IF(L99="","JMBG sadrži nešto što nije cifra",IF(N99="","Nepostojeći datum rođenja",IF(VALUE(MID(C99,13,1))&lt;&gt;L99,"Pogrešna kontrolna cifra - treba "&amp;L99,"✓ ispravan")))))</f>
        <v/>
      </c>
      <c r="K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L99">
        <f>IF(K99="","",IF(11-MOD(K99,11)&gt;9,0,11-MOD(K99,11)))</f>
        <v/>
      </c>
      <c r="M99">
        <f>IFERROR(IF(LEN(C99)&lt;&gt;13,"",IF(VALUE(MID(C99,5,3))&gt;=800,1000,2000)+VALUE(MID(C99,5,3))),"")</f>
        <v/>
      </c>
      <c r="N99">
        <f>IFERROR(IF(M99="","",IF(AND(DAY(DATE(M99,VALUE(MID(C99,3,2)),VALUE(MID(C99,1,2))))=VALUE(MID(C99,1,2)),MONTH(DATE(M99,VALUE(MID(C99,3,2)),VALUE(MID(C99,1,2))))=VALUE(MID(C99,3,2))),DATE(M99,VALUE(MID(C99,3,2)),VALUE(MID(C99,1,2))),"")),"")</f>
        <v/>
      </c>
    </row>
    <row r="100">
      <c r="A100" s="2" t="n"/>
      <c r="B100" s="2" t="n"/>
      <c r="C100" s="3" t="n"/>
      <c r="D100" s="2" t="n"/>
      <c r="E100" s="4">
        <f>IF(A100="","",5)</f>
        <v/>
      </c>
      <c r="F100" s="2" t="n"/>
      <c r="G100" s="4" t="n"/>
      <c r="H100" s="2" t="n"/>
      <c r="I100" s="2" t="n"/>
      <c r="J100" s="2">
        <f>IF(C100="","",IF(LEN(C100)&lt;&gt;13,"Nema 13 cifara (ima "&amp;LEN(C100)&amp;")",IF(L100="","JMBG sadrži nešto što nije cifra",IF(N100="","Nepostojeći datum rođenja",IF(VALUE(MID(C100,13,1))&lt;&gt;L100,"Pogrešna kontrolna cifra - treba "&amp;L100,"✓ ispravan")))))</f>
        <v/>
      </c>
      <c r="K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L100">
        <f>IF(K100="","",IF(11-MOD(K100,11)&gt;9,0,11-MOD(K100,11)))</f>
        <v/>
      </c>
      <c r="M100">
        <f>IFERROR(IF(LEN(C100)&lt;&gt;13,"",IF(VALUE(MID(C100,5,3))&gt;=800,1000,2000)+VALUE(MID(C100,5,3))),"")</f>
        <v/>
      </c>
      <c r="N100">
        <f>IFERROR(IF(M100="","",IF(AND(DAY(DATE(M100,VALUE(MID(C100,3,2)),VALUE(MID(C100,1,2))))=VALUE(MID(C100,1,2)),MONTH(DATE(M100,VALUE(MID(C100,3,2)),VALUE(MID(C100,1,2))))=VALUE(MID(C100,3,2))),DATE(M100,VALUE(MID(C100,3,2)),VALUE(MID(C100,1,2))),"")),"")</f>
        <v/>
      </c>
    </row>
    <row r="101">
      <c r="A101" s="2" t="n"/>
      <c r="B101" s="2" t="n"/>
      <c r="C101" s="3" t="n"/>
      <c r="D101" s="2" t="n"/>
      <c r="E101" s="4">
        <f>IF(A101="","",5)</f>
        <v/>
      </c>
      <c r="F101" s="2" t="n"/>
      <c r="G101" s="4" t="n"/>
      <c r="H101" s="2" t="n"/>
      <c r="I101" s="2" t="n"/>
      <c r="J101" s="2">
        <f>IF(C101="","",IF(LEN(C101)&lt;&gt;13,"Nema 13 cifara (ima "&amp;LEN(C101)&amp;")",IF(L101="","JMBG sadrži nešto što nije cifra",IF(N101="","Nepostojeći datum rođenja",IF(VALUE(MID(C101,13,1))&lt;&gt;L101,"Pogrešna kontrolna cifra - treba "&amp;L101,"✓ ispravan")))))</f>
        <v/>
      </c>
      <c r="K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L101">
        <f>IF(K101="","",IF(11-MOD(K101,11)&gt;9,0,11-MOD(K101,11)))</f>
        <v/>
      </c>
      <c r="M101">
        <f>IFERROR(IF(LEN(C101)&lt;&gt;13,"",IF(VALUE(MID(C101,5,3))&gt;=800,1000,2000)+VALUE(MID(C101,5,3))),"")</f>
        <v/>
      </c>
      <c r="N101">
        <f>IFERROR(IF(M101="","",IF(AND(DAY(DATE(M101,VALUE(MID(C101,3,2)),VALUE(MID(C101,1,2))))=VALUE(MID(C101,1,2)),MONTH(DATE(M101,VALUE(MID(C101,3,2)),VALUE(MID(C101,1,2))))=VALUE(MID(C101,3,2))),DATE(M101,VALUE(MID(C101,3,2)),VALUE(MID(C101,1,2))),"")),"")</f>
        <v/>
      </c>
    </row>
    <row r="102">
      <c r="A102" s="2" t="n"/>
      <c r="B102" s="2" t="n"/>
      <c r="C102" s="3" t="n"/>
      <c r="D102" s="2" t="n"/>
      <c r="E102" s="4">
        <f>IF(A102="","",5)</f>
        <v/>
      </c>
      <c r="F102" s="2" t="n"/>
      <c r="G102" s="4" t="n"/>
      <c r="H102" s="2" t="n"/>
      <c r="I102" s="2" t="n"/>
      <c r="J102" s="2">
        <f>IF(C102="","",IF(LEN(C102)&lt;&gt;13,"Nema 13 cifara (ima "&amp;LEN(C102)&amp;")",IF(L102="","JMBG sadrži nešto što nije cifra",IF(N102="","Nepostojeći datum rođenja",IF(VALUE(MID(C102,13,1))&lt;&gt;L102,"Pogrešna kontrolna cifra - treba "&amp;L102,"✓ ispravan")))))</f>
        <v/>
      </c>
      <c r="K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L102">
        <f>IF(K102="","",IF(11-MOD(K102,11)&gt;9,0,11-MOD(K102,11)))</f>
        <v/>
      </c>
      <c r="M102">
        <f>IFERROR(IF(LEN(C102)&lt;&gt;13,"",IF(VALUE(MID(C102,5,3))&gt;=800,1000,2000)+VALUE(MID(C102,5,3))),"")</f>
        <v/>
      </c>
      <c r="N102">
        <f>IFERROR(IF(M102="","",IF(AND(DAY(DATE(M102,VALUE(MID(C102,3,2)),VALUE(MID(C102,1,2))))=VALUE(MID(C102,1,2)),MONTH(DATE(M102,VALUE(MID(C102,3,2)),VALUE(MID(C102,1,2))))=VALUE(MID(C102,3,2))),DATE(M102,VALUE(MID(C102,3,2)),VALUE(MID(C102,1,2))),"")),"")</f>
        <v/>
      </c>
    </row>
    <row r="103">
      <c r="A103" s="2" t="n"/>
      <c r="B103" s="2" t="n"/>
      <c r="C103" s="3" t="n"/>
      <c r="D103" s="2" t="n"/>
      <c r="E103" s="4">
        <f>IF(A103="","",5)</f>
        <v/>
      </c>
      <c r="F103" s="2" t="n"/>
      <c r="G103" s="4" t="n"/>
      <c r="H103" s="2" t="n"/>
      <c r="I103" s="2" t="n"/>
      <c r="J103" s="2">
        <f>IF(C103="","",IF(LEN(C103)&lt;&gt;13,"Nema 13 cifara (ima "&amp;LEN(C103)&amp;")",IF(L103="","JMBG sadrži nešto što nije cifra",IF(N103="","Nepostojeći datum rođenja",IF(VALUE(MID(C103,13,1))&lt;&gt;L103,"Pogrešna kontrolna cifra - treba "&amp;L103,"✓ ispravan")))))</f>
        <v/>
      </c>
      <c r="K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L103">
        <f>IF(K103="","",IF(11-MOD(K103,11)&gt;9,0,11-MOD(K103,11)))</f>
        <v/>
      </c>
      <c r="M103">
        <f>IFERROR(IF(LEN(C103)&lt;&gt;13,"",IF(VALUE(MID(C103,5,3))&gt;=800,1000,2000)+VALUE(MID(C103,5,3))),"")</f>
        <v/>
      </c>
      <c r="N103">
        <f>IFERROR(IF(M103="","",IF(AND(DAY(DATE(M103,VALUE(MID(C103,3,2)),VALUE(MID(C103,1,2))))=VALUE(MID(C103,1,2)),MONTH(DATE(M103,VALUE(MID(C103,3,2)),VALUE(MID(C103,1,2))))=VALUE(MID(C103,3,2))),DATE(M103,VALUE(MID(C103,3,2)),VALUE(MID(C103,1,2))),"")),"")</f>
        <v/>
      </c>
    </row>
    <row r="104">
      <c r="A104" s="2" t="n"/>
      <c r="B104" s="2" t="n"/>
      <c r="C104" s="3" t="n"/>
      <c r="D104" s="2" t="n"/>
      <c r="E104" s="4">
        <f>IF(A104="","",5)</f>
        <v/>
      </c>
      <c r="F104" s="2" t="n"/>
      <c r="G104" s="4" t="n"/>
      <c r="H104" s="2" t="n"/>
      <c r="I104" s="2" t="n"/>
      <c r="J104" s="2">
        <f>IF(C104="","",IF(LEN(C104)&lt;&gt;13,"Nema 13 cifara (ima "&amp;LEN(C104)&amp;")",IF(L104="","JMBG sadrži nešto što nije cifra",IF(N104="","Nepostojeći datum rođenja",IF(VALUE(MID(C104,13,1))&lt;&gt;L104,"Pogrešna kontrolna cifra - treba "&amp;L104,"✓ ispravan")))))</f>
        <v/>
      </c>
      <c r="K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L104">
        <f>IF(K104="","",IF(11-MOD(K104,11)&gt;9,0,11-MOD(K104,11)))</f>
        <v/>
      </c>
      <c r="M104">
        <f>IFERROR(IF(LEN(C104)&lt;&gt;13,"",IF(VALUE(MID(C104,5,3))&gt;=800,1000,2000)+VALUE(MID(C104,5,3))),"")</f>
        <v/>
      </c>
      <c r="N104">
        <f>IFERROR(IF(M104="","",IF(AND(DAY(DATE(M104,VALUE(MID(C104,3,2)),VALUE(MID(C104,1,2))))=VALUE(MID(C104,1,2)),MONTH(DATE(M104,VALUE(MID(C104,3,2)),VALUE(MID(C104,1,2))))=VALUE(MID(C104,3,2))),DATE(M104,VALUE(MID(C104,3,2)),VALUE(MID(C104,1,2))),"")),"")</f>
        <v/>
      </c>
    </row>
    <row r="105">
      <c r="A105" s="2" t="n"/>
      <c r="B105" s="2" t="n"/>
      <c r="C105" s="3" t="n"/>
      <c r="D105" s="2" t="n"/>
      <c r="E105" s="4">
        <f>IF(A105="","",5)</f>
        <v/>
      </c>
      <c r="F105" s="2" t="n"/>
      <c r="G105" s="4" t="n"/>
      <c r="H105" s="2" t="n"/>
      <c r="I105" s="2" t="n"/>
      <c r="J105" s="2">
        <f>IF(C105="","",IF(LEN(C105)&lt;&gt;13,"Nema 13 cifara (ima "&amp;LEN(C105)&amp;")",IF(L105="","JMBG sadrži nešto što nije cifra",IF(N105="","Nepostojeći datum rođenja",IF(VALUE(MID(C105,13,1))&lt;&gt;L105,"Pogrešna kontrolna cifra - treba "&amp;L105,"✓ ispravan")))))</f>
        <v/>
      </c>
      <c r="K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L105">
        <f>IF(K105="","",IF(11-MOD(K105,11)&gt;9,0,11-MOD(K105,11)))</f>
        <v/>
      </c>
      <c r="M105">
        <f>IFERROR(IF(LEN(C105)&lt;&gt;13,"",IF(VALUE(MID(C105,5,3))&gt;=800,1000,2000)+VALUE(MID(C105,5,3))),"")</f>
        <v/>
      </c>
      <c r="N105">
        <f>IFERROR(IF(M105="","",IF(AND(DAY(DATE(M105,VALUE(MID(C105,3,2)),VALUE(MID(C105,1,2))))=VALUE(MID(C105,1,2)),MONTH(DATE(M105,VALUE(MID(C105,3,2)),VALUE(MID(C105,1,2))))=VALUE(MID(C105,3,2))),DATE(M105,VALUE(MID(C105,3,2)),VALUE(MID(C105,1,2))),"")),"")</f>
        <v/>
      </c>
    </row>
    <row r="106">
      <c r="A106" s="2" t="n"/>
      <c r="B106" s="2" t="n"/>
      <c r="C106" s="3" t="n"/>
      <c r="D106" s="2" t="n"/>
      <c r="E106" s="4">
        <f>IF(A106="","",5)</f>
        <v/>
      </c>
      <c r="F106" s="2" t="n"/>
      <c r="G106" s="4" t="n"/>
      <c r="H106" s="2" t="n"/>
      <c r="I106" s="2" t="n"/>
      <c r="J106" s="2">
        <f>IF(C106="","",IF(LEN(C106)&lt;&gt;13,"Nema 13 cifara (ima "&amp;LEN(C106)&amp;")",IF(L106="","JMBG sadrži nešto što nije cifra",IF(N106="","Nepostojeći datum rođenja",IF(VALUE(MID(C106,13,1))&lt;&gt;L106,"Pogrešna kontrolna cifra - treba "&amp;L106,"✓ ispravan")))))</f>
        <v/>
      </c>
      <c r="K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L106">
        <f>IF(K106="","",IF(11-MOD(K106,11)&gt;9,0,11-MOD(K106,11)))</f>
        <v/>
      </c>
      <c r="M106">
        <f>IFERROR(IF(LEN(C106)&lt;&gt;13,"",IF(VALUE(MID(C106,5,3))&gt;=800,1000,2000)+VALUE(MID(C106,5,3))),"")</f>
        <v/>
      </c>
      <c r="N106">
        <f>IFERROR(IF(M106="","",IF(AND(DAY(DATE(M106,VALUE(MID(C106,3,2)),VALUE(MID(C106,1,2))))=VALUE(MID(C106,1,2)),MONTH(DATE(M106,VALUE(MID(C106,3,2)),VALUE(MID(C106,1,2))))=VALUE(MID(C106,3,2))),DATE(M106,VALUE(MID(C106,3,2)),VALUE(MID(C106,1,2))),"")),"")</f>
        <v/>
      </c>
    </row>
    <row r="107">
      <c r="A107" s="2" t="n"/>
      <c r="B107" s="2" t="n"/>
      <c r="C107" s="3" t="n"/>
      <c r="D107" s="2" t="n"/>
      <c r="E107" s="4">
        <f>IF(A107="","",5)</f>
        <v/>
      </c>
      <c r="F107" s="2" t="n"/>
      <c r="G107" s="4" t="n"/>
      <c r="H107" s="2" t="n"/>
      <c r="I107" s="2" t="n"/>
      <c r="J107" s="2">
        <f>IF(C107="","",IF(LEN(C107)&lt;&gt;13,"Nema 13 cifara (ima "&amp;LEN(C107)&amp;")",IF(L107="","JMBG sadrži nešto što nije cifra",IF(N107="","Nepostojeći datum rođenja",IF(VALUE(MID(C107,13,1))&lt;&gt;L107,"Pogrešna kontrolna cifra - treba "&amp;L107,"✓ ispravan")))))</f>
        <v/>
      </c>
      <c r="K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L107">
        <f>IF(K107="","",IF(11-MOD(K107,11)&gt;9,0,11-MOD(K107,11)))</f>
        <v/>
      </c>
      <c r="M107">
        <f>IFERROR(IF(LEN(C107)&lt;&gt;13,"",IF(VALUE(MID(C107,5,3))&gt;=800,1000,2000)+VALUE(MID(C107,5,3))),"")</f>
        <v/>
      </c>
      <c r="N107">
        <f>IFERROR(IF(M107="","",IF(AND(DAY(DATE(M107,VALUE(MID(C107,3,2)),VALUE(MID(C107,1,2))))=VALUE(MID(C107,1,2)),MONTH(DATE(M107,VALUE(MID(C107,3,2)),VALUE(MID(C107,1,2))))=VALUE(MID(C107,3,2))),DATE(M107,VALUE(MID(C107,3,2)),VALUE(MID(C107,1,2))),"")),"")</f>
        <v/>
      </c>
    </row>
    <row r="108">
      <c r="A108" s="2" t="n"/>
      <c r="B108" s="2" t="n"/>
      <c r="C108" s="3" t="n"/>
      <c r="D108" s="2" t="n"/>
      <c r="E108" s="4">
        <f>IF(A108="","",5)</f>
        <v/>
      </c>
      <c r="F108" s="2" t="n"/>
      <c r="G108" s="4" t="n"/>
      <c r="H108" s="2" t="n"/>
      <c r="I108" s="2" t="n"/>
      <c r="J108" s="2">
        <f>IF(C108="","",IF(LEN(C108)&lt;&gt;13,"Nema 13 cifara (ima "&amp;LEN(C108)&amp;")",IF(L108="","JMBG sadrži nešto što nije cifra",IF(N108="","Nepostojeći datum rođenja",IF(VALUE(MID(C108,13,1))&lt;&gt;L108,"Pogrešna kontrolna cifra - treba "&amp;L108,"✓ ispravan")))))</f>
        <v/>
      </c>
      <c r="K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L108">
        <f>IF(K108="","",IF(11-MOD(K108,11)&gt;9,0,11-MOD(K108,11)))</f>
        <v/>
      </c>
      <c r="M108">
        <f>IFERROR(IF(LEN(C108)&lt;&gt;13,"",IF(VALUE(MID(C108,5,3))&gt;=800,1000,2000)+VALUE(MID(C108,5,3))),"")</f>
        <v/>
      </c>
      <c r="N108">
        <f>IFERROR(IF(M108="","",IF(AND(DAY(DATE(M108,VALUE(MID(C108,3,2)),VALUE(MID(C108,1,2))))=VALUE(MID(C108,1,2)),MONTH(DATE(M108,VALUE(MID(C108,3,2)),VALUE(MID(C108,1,2))))=VALUE(MID(C108,3,2))),DATE(M108,VALUE(MID(C108,3,2)),VALUE(MID(C108,1,2))),"")),"")</f>
        <v/>
      </c>
    </row>
    <row r="109">
      <c r="A109" s="2" t="n"/>
      <c r="B109" s="2" t="n"/>
      <c r="C109" s="3" t="n"/>
      <c r="D109" s="2" t="n"/>
      <c r="E109" s="4">
        <f>IF(A109="","",5)</f>
        <v/>
      </c>
      <c r="F109" s="2" t="n"/>
      <c r="G109" s="4" t="n"/>
      <c r="H109" s="2" t="n"/>
      <c r="I109" s="2" t="n"/>
      <c r="J109" s="2">
        <f>IF(C109="","",IF(LEN(C109)&lt;&gt;13,"Nema 13 cifara (ima "&amp;LEN(C109)&amp;")",IF(L109="","JMBG sadrži nešto što nije cifra",IF(N109="","Nepostojeći datum rođenja",IF(VALUE(MID(C109,13,1))&lt;&gt;L109,"Pogrešna kontrolna cifra - treba "&amp;L109,"✓ ispravan")))))</f>
        <v/>
      </c>
      <c r="K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L109">
        <f>IF(K109="","",IF(11-MOD(K109,11)&gt;9,0,11-MOD(K109,11)))</f>
        <v/>
      </c>
      <c r="M109">
        <f>IFERROR(IF(LEN(C109)&lt;&gt;13,"",IF(VALUE(MID(C109,5,3))&gt;=800,1000,2000)+VALUE(MID(C109,5,3))),"")</f>
        <v/>
      </c>
      <c r="N109">
        <f>IFERROR(IF(M109="","",IF(AND(DAY(DATE(M109,VALUE(MID(C109,3,2)),VALUE(MID(C109,1,2))))=VALUE(MID(C109,1,2)),MONTH(DATE(M109,VALUE(MID(C109,3,2)),VALUE(MID(C109,1,2))))=VALUE(MID(C109,3,2))),DATE(M109,VALUE(MID(C109,3,2)),VALUE(MID(C109,1,2))),"")),"")</f>
        <v/>
      </c>
    </row>
    <row r="110">
      <c r="A110" s="2" t="n"/>
      <c r="B110" s="2" t="n"/>
      <c r="C110" s="3" t="n"/>
      <c r="D110" s="2" t="n"/>
      <c r="E110" s="4">
        <f>IF(A110="","",5)</f>
        <v/>
      </c>
      <c r="F110" s="2" t="n"/>
      <c r="G110" s="4" t="n"/>
      <c r="H110" s="2" t="n"/>
      <c r="I110" s="2" t="n"/>
      <c r="J110" s="2">
        <f>IF(C110="","",IF(LEN(C110)&lt;&gt;13,"Nema 13 cifara (ima "&amp;LEN(C110)&amp;")",IF(L110="","JMBG sadrži nešto što nije cifra",IF(N110="","Nepostojeći datum rođenja",IF(VALUE(MID(C110,13,1))&lt;&gt;L110,"Pogrešna kontrolna cifra - treba "&amp;L110,"✓ ispravan")))))</f>
        <v/>
      </c>
      <c r="K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L110">
        <f>IF(K110="","",IF(11-MOD(K110,11)&gt;9,0,11-MOD(K110,11)))</f>
        <v/>
      </c>
      <c r="M110">
        <f>IFERROR(IF(LEN(C110)&lt;&gt;13,"",IF(VALUE(MID(C110,5,3))&gt;=800,1000,2000)+VALUE(MID(C110,5,3))),"")</f>
        <v/>
      </c>
      <c r="N110">
        <f>IFERROR(IF(M110="","",IF(AND(DAY(DATE(M110,VALUE(MID(C110,3,2)),VALUE(MID(C110,1,2))))=VALUE(MID(C110,1,2)),MONTH(DATE(M110,VALUE(MID(C110,3,2)),VALUE(MID(C110,1,2))))=VALUE(MID(C110,3,2))),DATE(M110,VALUE(MID(C110,3,2)),VALUE(MID(C110,1,2))),"")),"")</f>
        <v/>
      </c>
    </row>
    <row r="111">
      <c r="A111" s="2" t="n"/>
      <c r="B111" s="2" t="n"/>
      <c r="C111" s="3" t="n"/>
      <c r="D111" s="2" t="n"/>
      <c r="E111" s="4">
        <f>IF(A111="","",5)</f>
        <v/>
      </c>
      <c r="F111" s="2" t="n"/>
      <c r="G111" s="4" t="n"/>
      <c r="H111" s="2" t="n"/>
      <c r="I111" s="2" t="n"/>
      <c r="J111" s="2">
        <f>IF(C111="","",IF(LEN(C111)&lt;&gt;13,"Nema 13 cifara (ima "&amp;LEN(C111)&amp;")",IF(L111="","JMBG sadrži nešto što nije cifra",IF(N111="","Nepostojeći datum rođenja",IF(VALUE(MID(C111,13,1))&lt;&gt;L111,"Pogrešna kontrolna cifra - treba "&amp;L111,"✓ ispravan")))))</f>
        <v/>
      </c>
      <c r="K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L111">
        <f>IF(K111="","",IF(11-MOD(K111,11)&gt;9,0,11-MOD(K111,11)))</f>
        <v/>
      </c>
      <c r="M111">
        <f>IFERROR(IF(LEN(C111)&lt;&gt;13,"",IF(VALUE(MID(C111,5,3))&gt;=800,1000,2000)+VALUE(MID(C111,5,3))),"")</f>
        <v/>
      </c>
      <c r="N111">
        <f>IFERROR(IF(M111="","",IF(AND(DAY(DATE(M111,VALUE(MID(C111,3,2)),VALUE(MID(C111,1,2))))=VALUE(MID(C111,1,2)),MONTH(DATE(M111,VALUE(MID(C111,3,2)),VALUE(MID(C111,1,2))))=VALUE(MID(C111,3,2))),DATE(M111,VALUE(MID(C111,3,2)),VALUE(MID(C111,1,2))),"")),"")</f>
        <v/>
      </c>
    </row>
    <row r="112">
      <c r="A112" s="2" t="n"/>
      <c r="B112" s="2" t="n"/>
      <c r="C112" s="3" t="n"/>
      <c r="D112" s="2" t="n"/>
      <c r="E112" s="4">
        <f>IF(A112="","",5)</f>
        <v/>
      </c>
      <c r="F112" s="2" t="n"/>
      <c r="G112" s="4" t="n"/>
      <c r="H112" s="2" t="n"/>
      <c r="I112" s="2" t="n"/>
      <c r="J112" s="2">
        <f>IF(C112="","",IF(LEN(C112)&lt;&gt;13,"Nema 13 cifara (ima "&amp;LEN(C112)&amp;")",IF(L112="","JMBG sadrži nešto što nije cifra",IF(N112="","Nepostojeći datum rođenja",IF(VALUE(MID(C112,13,1))&lt;&gt;L112,"Pogrešna kontrolna cifra - treba "&amp;L112,"✓ ispravan")))))</f>
        <v/>
      </c>
      <c r="K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L112">
        <f>IF(K112="","",IF(11-MOD(K112,11)&gt;9,0,11-MOD(K112,11)))</f>
        <v/>
      </c>
      <c r="M112">
        <f>IFERROR(IF(LEN(C112)&lt;&gt;13,"",IF(VALUE(MID(C112,5,3))&gt;=800,1000,2000)+VALUE(MID(C112,5,3))),"")</f>
        <v/>
      </c>
      <c r="N112">
        <f>IFERROR(IF(M112="","",IF(AND(DAY(DATE(M112,VALUE(MID(C112,3,2)),VALUE(MID(C112,1,2))))=VALUE(MID(C112,1,2)),MONTH(DATE(M112,VALUE(MID(C112,3,2)),VALUE(MID(C112,1,2))))=VALUE(MID(C112,3,2))),DATE(M112,VALUE(MID(C112,3,2)),VALUE(MID(C112,1,2))),"")),"")</f>
        <v/>
      </c>
    </row>
    <row r="113">
      <c r="A113" s="2" t="n"/>
      <c r="B113" s="2" t="n"/>
      <c r="C113" s="3" t="n"/>
      <c r="D113" s="2" t="n"/>
      <c r="E113" s="4">
        <f>IF(A113="","",5)</f>
        <v/>
      </c>
      <c r="F113" s="2" t="n"/>
      <c r="G113" s="4" t="n"/>
      <c r="H113" s="2" t="n"/>
      <c r="I113" s="2" t="n"/>
      <c r="J113" s="2">
        <f>IF(C113="","",IF(LEN(C113)&lt;&gt;13,"Nema 13 cifara (ima "&amp;LEN(C113)&amp;")",IF(L113="","JMBG sadrži nešto što nije cifra",IF(N113="","Nepostojeći datum rođenja",IF(VALUE(MID(C113,13,1))&lt;&gt;L113,"Pogrešna kontrolna cifra - treba "&amp;L113,"✓ ispravan")))))</f>
        <v/>
      </c>
      <c r="K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L113">
        <f>IF(K113="","",IF(11-MOD(K113,11)&gt;9,0,11-MOD(K113,11)))</f>
        <v/>
      </c>
      <c r="M113">
        <f>IFERROR(IF(LEN(C113)&lt;&gt;13,"",IF(VALUE(MID(C113,5,3))&gt;=800,1000,2000)+VALUE(MID(C113,5,3))),"")</f>
        <v/>
      </c>
      <c r="N113">
        <f>IFERROR(IF(M113="","",IF(AND(DAY(DATE(M113,VALUE(MID(C113,3,2)),VALUE(MID(C113,1,2))))=VALUE(MID(C113,1,2)),MONTH(DATE(M113,VALUE(MID(C113,3,2)),VALUE(MID(C113,1,2))))=VALUE(MID(C113,3,2))),DATE(M113,VALUE(MID(C113,3,2)),VALUE(MID(C113,1,2))),"")),"")</f>
        <v/>
      </c>
    </row>
    <row r="114">
      <c r="A114" s="2" t="n"/>
      <c r="B114" s="2" t="n"/>
      <c r="C114" s="3" t="n"/>
      <c r="D114" s="2" t="n"/>
      <c r="E114" s="4">
        <f>IF(A114="","",5)</f>
        <v/>
      </c>
      <c r="F114" s="2" t="n"/>
      <c r="G114" s="4" t="n"/>
      <c r="H114" s="2" t="n"/>
      <c r="I114" s="2" t="n"/>
      <c r="J114" s="2">
        <f>IF(C114="","",IF(LEN(C114)&lt;&gt;13,"Nema 13 cifara (ima "&amp;LEN(C114)&amp;")",IF(L114="","JMBG sadrži nešto što nije cifra",IF(N114="","Nepostojeći datum rođenja",IF(VALUE(MID(C114,13,1))&lt;&gt;L114,"Pogrešna kontrolna cifra - treba "&amp;L114,"✓ ispravan")))))</f>
        <v/>
      </c>
      <c r="K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L114">
        <f>IF(K114="","",IF(11-MOD(K114,11)&gt;9,0,11-MOD(K114,11)))</f>
        <v/>
      </c>
      <c r="M114">
        <f>IFERROR(IF(LEN(C114)&lt;&gt;13,"",IF(VALUE(MID(C114,5,3))&gt;=800,1000,2000)+VALUE(MID(C114,5,3))),"")</f>
        <v/>
      </c>
      <c r="N114">
        <f>IFERROR(IF(M114="","",IF(AND(DAY(DATE(M114,VALUE(MID(C114,3,2)),VALUE(MID(C114,1,2))))=VALUE(MID(C114,1,2)),MONTH(DATE(M114,VALUE(MID(C114,3,2)),VALUE(MID(C114,1,2))))=VALUE(MID(C114,3,2))),DATE(M114,VALUE(MID(C114,3,2)),VALUE(MID(C114,1,2))),"")),"")</f>
        <v/>
      </c>
    </row>
    <row r="115">
      <c r="A115" s="2" t="n"/>
      <c r="B115" s="2" t="n"/>
      <c r="C115" s="3" t="n"/>
      <c r="D115" s="2" t="n"/>
      <c r="E115" s="4">
        <f>IF(A115="","",5)</f>
        <v/>
      </c>
      <c r="F115" s="2" t="n"/>
      <c r="G115" s="4" t="n"/>
      <c r="H115" s="2" t="n"/>
      <c r="I115" s="2" t="n"/>
      <c r="J115" s="2">
        <f>IF(C115="","",IF(LEN(C115)&lt;&gt;13,"Nema 13 cifara (ima "&amp;LEN(C115)&amp;")",IF(L115="","JMBG sadrži nešto što nije cifra",IF(N115="","Nepostojeći datum rođenja",IF(VALUE(MID(C115,13,1))&lt;&gt;L115,"Pogrešna kontrolna cifra - treba "&amp;L115,"✓ ispravan")))))</f>
        <v/>
      </c>
      <c r="K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L115">
        <f>IF(K115="","",IF(11-MOD(K115,11)&gt;9,0,11-MOD(K115,11)))</f>
        <v/>
      </c>
      <c r="M115">
        <f>IFERROR(IF(LEN(C115)&lt;&gt;13,"",IF(VALUE(MID(C115,5,3))&gt;=800,1000,2000)+VALUE(MID(C115,5,3))),"")</f>
        <v/>
      </c>
      <c r="N115">
        <f>IFERROR(IF(M115="","",IF(AND(DAY(DATE(M115,VALUE(MID(C115,3,2)),VALUE(MID(C115,1,2))))=VALUE(MID(C115,1,2)),MONTH(DATE(M115,VALUE(MID(C115,3,2)),VALUE(MID(C115,1,2))))=VALUE(MID(C115,3,2))),DATE(M115,VALUE(MID(C115,3,2)),VALUE(MID(C115,1,2))),"")),"")</f>
        <v/>
      </c>
    </row>
    <row r="116">
      <c r="A116" s="2" t="n"/>
      <c r="B116" s="2" t="n"/>
      <c r="C116" s="3" t="n"/>
      <c r="D116" s="2" t="n"/>
      <c r="E116" s="4">
        <f>IF(A116="","",5)</f>
        <v/>
      </c>
      <c r="F116" s="2" t="n"/>
      <c r="G116" s="4" t="n"/>
      <c r="H116" s="2" t="n"/>
      <c r="I116" s="2" t="n"/>
      <c r="J116" s="2">
        <f>IF(C116="","",IF(LEN(C116)&lt;&gt;13,"Nema 13 cifara (ima "&amp;LEN(C116)&amp;")",IF(L116="","JMBG sadrži nešto što nije cifra",IF(N116="","Nepostojeći datum rođenja",IF(VALUE(MID(C116,13,1))&lt;&gt;L116,"Pogrešna kontrolna cifra - treba "&amp;L116,"✓ ispravan")))))</f>
        <v/>
      </c>
      <c r="K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L116">
        <f>IF(K116="","",IF(11-MOD(K116,11)&gt;9,0,11-MOD(K116,11)))</f>
        <v/>
      </c>
      <c r="M116">
        <f>IFERROR(IF(LEN(C116)&lt;&gt;13,"",IF(VALUE(MID(C116,5,3))&gt;=800,1000,2000)+VALUE(MID(C116,5,3))),"")</f>
        <v/>
      </c>
      <c r="N116">
        <f>IFERROR(IF(M116="","",IF(AND(DAY(DATE(M116,VALUE(MID(C116,3,2)),VALUE(MID(C116,1,2))))=VALUE(MID(C116,1,2)),MONTH(DATE(M116,VALUE(MID(C116,3,2)),VALUE(MID(C116,1,2))))=VALUE(MID(C116,3,2))),DATE(M116,VALUE(MID(C116,3,2)),VALUE(MID(C116,1,2))),"")),"")</f>
        <v/>
      </c>
    </row>
    <row r="117">
      <c r="A117" s="2" t="n"/>
      <c r="B117" s="2" t="n"/>
      <c r="C117" s="3" t="n"/>
      <c r="D117" s="2" t="n"/>
      <c r="E117" s="4">
        <f>IF(A117="","",5)</f>
        <v/>
      </c>
      <c r="F117" s="2" t="n"/>
      <c r="G117" s="4" t="n"/>
      <c r="H117" s="2" t="n"/>
      <c r="I117" s="2" t="n"/>
      <c r="J117" s="2">
        <f>IF(C117="","",IF(LEN(C117)&lt;&gt;13,"Nema 13 cifara (ima "&amp;LEN(C117)&amp;")",IF(L117="","JMBG sadrži nešto što nije cifra",IF(N117="","Nepostojeći datum rođenja",IF(VALUE(MID(C117,13,1))&lt;&gt;L117,"Pogrešna kontrolna cifra - treba "&amp;L117,"✓ ispravan")))))</f>
        <v/>
      </c>
      <c r="K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L117">
        <f>IF(K117="","",IF(11-MOD(K117,11)&gt;9,0,11-MOD(K117,11)))</f>
        <v/>
      </c>
      <c r="M117">
        <f>IFERROR(IF(LEN(C117)&lt;&gt;13,"",IF(VALUE(MID(C117,5,3))&gt;=800,1000,2000)+VALUE(MID(C117,5,3))),"")</f>
        <v/>
      </c>
      <c r="N117">
        <f>IFERROR(IF(M117="","",IF(AND(DAY(DATE(M117,VALUE(MID(C117,3,2)),VALUE(MID(C117,1,2))))=VALUE(MID(C117,1,2)),MONTH(DATE(M117,VALUE(MID(C117,3,2)),VALUE(MID(C117,1,2))))=VALUE(MID(C117,3,2))),DATE(M117,VALUE(MID(C117,3,2)),VALUE(MID(C117,1,2))),"")),"")</f>
        <v/>
      </c>
    </row>
    <row r="118">
      <c r="A118" s="2" t="n"/>
      <c r="B118" s="2" t="n"/>
      <c r="C118" s="3" t="n"/>
      <c r="D118" s="2" t="n"/>
      <c r="E118" s="4">
        <f>IF(A118="","",5)</f>
        <v/>
      </c>
      <c r="F118" s="2" t="n"/>
      <c r="G118" s="4" t="n"/>
      <c r="H118" s="2" t="n"/>
      <c r="I118" s="2" t="n"/>
      <c r="J118" s="2">
        <f>IF(C118="","",IF(LEN(C118)&lt;&gt;13,"Nema 13 cifara (ima "&amp;LEN(C118)&amp;")",IF(L118="","JMBG sadrži nešto što nije cifra",IF(N118="","Nepostojeći datum rođenja",IF(VALUE(MID(C118,13,1))&lt;&gt;L118,"Pogrešna kontrolna cifra - treba "&amp;L118,"✓ ispravan")))))</f>
        <v/>
      </c>
      <c r="K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L118">
        <f>IF(K118="","",IF(11-MOD(K118,11)&gt;9,0,11-MOD(K118,11)))</f>
        <v/>
      </c>
      <c r="M118">
        <f>IFERROR(IF(LEN(C118)&lt;&gt;13,"",IF(VALUE(MID(C118,5,3))&gt;=800,1000,2000)+VALUE(MID(C118,5,3))),"")</f>
        <v/>
      </c>
      <c r="N118">
        <f>IFERROR(IF(M118="","",IF(AND(DAY(DATE(M118,VALUE(MID(C118,3,2)),VALUE(MID(C118,1,2))))=VALUE(MID(C118,1,2)),MONTH(DATE(M118,VALUE(MID(C118,3,2)),VALUE(MID(C118,1,2))))=VALUE(MID(C118,3,2))),DATE(M118,VALUE(MID(C118,3,2)),VALUE(MID(C118,1,2))),"")),"")</f>
        <v/>
      </c>
    </row>
    <row r="119">
      <c r="A119" s="2" t="n"/>
      <c r="B119" s="2" t="n"/>
      <c r="C119" s="3" t="n"/>
      <c r="D119" s="2" t="n"/>
      <c r="E119" s="4">
        <f>IF(A119="","",5)</f>
        <v/>
      </c>
      <c r="F119" s="2" t="n"/>
      <c r="G119" s="4" t="n"/>
      <c r="H119" s="2" t="n"/>
      <c r="I119" s="2" t="n"/>
      <c r="J119" s="2">
        <f>IF(C119="","",IF(LEN(C119)&lt;&gt;13,"Nema 13 cifara (ima "&amp;LEN(C119)&amp;")",IF(L119="","JMBG sadrži nešto što nije cifra",IF(N119="","Nepostojeći datum rođenja",IF(VALUE(MID(C119,13,1))&lt;&gt;L119,"Pogrešna kontrolna cifra - treba "&amp;L119,"✓ ispravan")))))</f>
        <v/>
      </c>
      <c r="K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L119">
        <f>IF(K119="","",IF(11-MOD(K119,11)&gt;9,0,11-MOD(K119,11)))</f>
        <v/>
      </c>
      <c r="M119">
        <f>IFERROR(IF(LEN(C119)&lt;&gt;13,"",IF(VALUE(MID(C119,5,3))&gt;=800,1000,2000)+VALUE(MID(C119,5,3))),"")</f>
        <v/>
      </c>
      <c r="N119">
        <f>IFERROR(IF(M119="","",IF(AND(DAY(DATE(M119,VALUE(MID(C119,3,2)),VALUE(MID(C119,1,2))))=VALUE(MID(C119,1,2)),MONTH(DATE(M119,VALUE(MID(C119,3,2)),VALUE(MID(C119,1,2))))=VALUE(MID(C119,3,2))),DATE(M119,VALUE(MID(C119,3,2)),VALUE(MID(C119,1,2))),"")),"")</f>
        <v/>
      </c>
    </row>
    <row r="120">
      <c r="A120" s="2" t="n"/>
      <c r="B120" s="2" t="n"/>
      <c r="C120" s="3" t="n"/>
      <c r="D120" s="2" t="n"/>
      <c r="E120" s="4">
        <f>IF(A120="","",5)</f>
        <v/>
      </c>
      <c r="F120" s="2" t="n"/>
      <c r="G120" s="4" t="n"/>
      <c r="H120" s="2" t="n"/>
      <c r="I120" s="2" t="n"/>
      <c r="J120" s="2">
        <f>IF(C120="","",IF(LEN(C120)&lt;&gt;13,"Nema 13 cifara (ima "&amp;LEN(C120)&amp;")",IF(L120="","JMBG sadrži nešto što nije cifra",IF(N120="","Nepostojeći datum rođenja",IF(VALUE(MID(C120,13,1))&lt;&gt;L120,"Pogrešna kontrolna cifra - treba "&amp;L120,"✓ ispravan")))))</f>
        <v/>
      </c>
      <c r="K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L120">
        <f>IF(K120="","",IF(11-MOD(K120,11)&gt;9,0,11-MOD(K120,11)))</f>
        <v/>
      </c>
      <c r="M120">
        <f>IFERROR(IF(LEN(C120)&lt;&gt;13,"",IF(VALUE(MID(C120,5,3))&gt;=800,1000,2000)+VALUE(MID(C120,5,3))),"")</f>
        <v/>
      </c>
      <c r="N120">
        <f>IFERROR(IF(M120="","",IF(AND(DAY(DATE(M120,VALUE(MID(C120,3,2)),VALUE(MID(C120,1,2))))=VALUE(MID(C120,1,2)),MONTH(DATE(M120,VALUE(MID(C120,3,2)),VALUE(MID(C120,1,2))))=VALUE(MID(C120,3,2))),DATE(M120,VALUE(MID(C120,3,2)),VALUE(MID(C120,1,2))),"")),"")</f>
        <v/>
      </c>
    </row>
    <row r="121">
      <c r="A121" s="2" t="n"/>
      <c r="B121" s="2" t="n"/>
      <c r="C121" s="3" t="n"/>
      <c r="D121" s="2" t="n"/>
      <c r="E121" s="4">
        <f>IF(A121="","",5)</f>
        <v/>
      </c>
      <c r="F121" s="2" t="n"/>
      <c r="G121" s="4" t="n"/>
      <c r="H121" s="2" t="n"/>
      <c r="I121" s="2" t="n"/>
      <c r="J121" s="2">
        <f>IF(C121="","",IF(LEN(C121)&lt;&gt;13,"Nema 13 cifara (ima "&amp;LEN(C121)&amp;")",IF(L121="","JMBG sadrži nešto što nije cifra",IF(N121="","Nepostojeći datum rođenja",IF(VALUE(MID(C121,13,1))&lt;&gt;L121,"Pogrešna kontrolna cifra - treba "&amp;L121,"✓ ispravan")))))</f>
        <v/>
      </c>
      <c r="K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L121">
        <f>IF(K121="","",IF(11-MOD(K121,11)&gt;9,0,11-MOD(K121,11)))</f>
        <v/>
      </c>
      <c r="M121">
        <f>IFERROR(IF(LEN(C121)&lt;&gt;13,"",IF(VALUE(MID(C121,5,3))&gt;=800,1000,2000)+VALUE(MID(C121,5,3))),"")</f>
        <v/>
      </c>
      <c r="N121">
        <f>IFERROR(IF(M121="","",IF(AND(DAY(DATE(M121,VALUE(MID(C121,3,2)),VALUE(MID(C121,1,2))))=VALUE(MID(C121,1,2)),MONTH(DATE(M121,VALUE(MID(C121,3,2)),VALUE(MID(C121,1,2))))=VALUE(MID(C121,3,2))),DATE(M121,VALUE(MID(C121,3,2)),VALUE(MID(C121,1,2))),"")),"")</f>
        <v/>
      </c>
    </row>
    <row r="122">
      <c r="A122" s="2" t="n"/>
      <c r="B122" s="2" t="n"/>
      <c r="C122" s="3" t="n"/>
      <c r="D122" s="2" t="n"/>
      <c r="E122" s="4">
        <f>IF(A122="","",5)</f>
        <v/>
      </c>
      <c r="F122" s="2" t="n"/>
      <c r="G122" s="4" t="n"/>
      <c r="H122" s="2" t="n"/>
      <c r="I122" s="2" t="n"/>
      <c r="J122" s="2">
        <f>IF(C122="","",IF(LEN(C122)&lt;&gt;13,"Nema 13 cifara (ima "&amp;LEN(C122)&amp;")",IF(L122="","JMBG sadrži nešto što nije cifra",IF(N122="","Nepostojeći datum rođenja",IF(VALUE(MID(C122,13,1))&lt;&gt;L122,"Pogrešna kontrolna cifra - treba "&amp;L122,"✓ ispravan")))))</f>
        <v/>
      </c>
      <c r="K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L122">
        <f>IF(K122="","",IF(11-MOD(K122,11)&gt;9,0,11-MOD(K122,11)))</f>
        <v/>
      </c>
      <c r="M122">
        <f>IFERROR(IF(LEN(C122)&lt;&gt;13,"",IF(VALUE(MID(C122,5,3))&gt;=800,1000,2000)+VALUE(MID(C122,5,3))),"")</f>
        <v/>
      </c>
      <c r="N122">
        <f>IFERROR(IF(M122="","",IF(AND(DAY(DATE(M122,VALUE(MID(C122,3,2)),VALUE(MID(C122,1,2))))=VALUE(MID(C122,1,2)),MONTH(DATE(M122,VALUE(MID(C122,3,2)),VALUE(MID(C122,1,2))))=VALUE(MID(C122,3,2))),DATE(M122,VALUE(MID(C122,3,2)),VALUE(MID(C122,1,2))),"")),"")</f>
        <v/>
      </c>
    </row>
    <row r="123">
      <c r="A123" s="2" t="n"/>
      <c r="B123" s="2" t="n"/>
      <c r="C123" s="3" t="n"/>
      <c r="D123" s="2" t="n"/>
      <c r="E123" s="4">
        <f>IF(A123="","",5)</f>
        <v/>
      </c>
      <c r="F123" s="2" t="n"/>
      <c r="G123" s="4" t="n"/>
      <c r="H123" s="2" t="n"/>
      <c r="I123" s="2" t="n"/>
      <c r="J123" s="2">
        <f>IF(C123="","",IF(LEN(C123)&lt;&gt;13,"Nema 13 cifara (ima "&amp;LEN(C123)&amp;")",IF(L123="","JMBG sadrži nešto što nije cifra",IF(N123="","Nepostojeći datum rođenja",IF(VALUE(MID(C123,13,1))&lt;&gt;L123,"Pogrešna kontrolna cifra - treba "&amp;L123,"✓ ispravan")))))</f>
        <v/>
      </c>
      <c r="K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L123">
        <f>IF(K123="","",IF(11-MOD(K123,11)&gt;9,0,11-MOD(K123,11)))</f>
        <v/>
      </c>
      <c r="M123">
        <f>IFERROR(IF(LEN(C123)&lt;&gt;13,"",IF(VALUE(MID(C123,5,3))&gt;=800,1000,2000)+VALUE(MID(C123,5,3))),"")</f>
        <v/>
      </c>
      <c r="N123">
        <f>IFERROR(IF(M123="","",IF(AND(DAY(DATE(M123,VALUE(MID(C123,3,2)),VALUE(MID(C123,1,2))))=VALUE(MID(C123,1,2)),MONTH(DATE(M123,VALUE(MID(C123,3,2)),VALUE(MID(C123,1,2))))=VALUE(MID(C123,3,2))),DATE(M123,VALUE(MID(C123,3,2)),VALUE(MID(C123,1,2))),"")),"")</f>
        <v/>
      </c>
    </row>
    <row r="124">
      <c r="A124" s="2" t="n"/>
      <c r="B124" s="2" t="n"/>
      <c r="C124" s="3" t="n"/>
      <c r="D124" s="2" t="n"/>
      <c r="E124" s="4">
        <f>IF(A124="","",5)</f>
        <v/>
      </c>
      <c r="F124" s="2" t="n"/>
      <c r="G124" s="4" t="n"/>
      <c r="H124" s="2" t="n"/>
      <c r="I124" s="2" t="n"/>
      <c r="J124" s="2">
        <f>IF(C124="","",IF(LEN(C124)&lt;&gt;13,"Nema 13 cifara (ima "&amp;LEN(C124)&amp;")",IF(L124="","JMBG sadrži nešto što nije cifra",IF(N124="","Nepostojeći datum rođenja",IF(VALUE(MID(C124,13,1))&lt;&gt;L124,"Pogrešna kontrolna cifra - treba "&amp;L124,"✓ ispravan")))))</f>
        <v/>
      </c>
      <c r="K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L124">
        <f>IF(K124="","",IF(11-MOD(K124,11)&gt;9,0,11-MOD(K124,11)))</f>
        <v/>
      </c>
      <c r="M124">
        <f>IFERROR(IF(LEN(C124)&lt;&gt;13,"",IF(VALUE(MID(C124,5,3))&gt;=800,1000,2000)+VALUE(MID(C124,5,3))),"")</f>
        <v/>
      </c>
      <c r="N124">
        <f>IFERROR(IF(M124="","",IF(AND(DAY(DATE(M124,VALUE(MID(C124,3,2)),VALUE(MID(C124,1,2))))=VALUE(MID(C124,1,2)),MONTH(DATE(M124,VALUE(MID(C124,3,2)),VALUE(MID(C124,1,2))))=VALUE(MID(C124,3,2))),DATE(M124,VALUE(MID(C124,3,2)),VALUE(MID(C124,1,2))),"")),"")</f>
        <v/>
      </c>
    </row>
    <row r="125">
      <c r="A125" s="2" t="n"/>
      <c r="B125" s="2" t="n"/>
      <c r="C125" s="3" t="n"/>
      <c r="D125" s="2" t="n"/>
      <c r="E125" s="4">
        <f>IF(A125="","",5)</f>
        <v/>
      </c>
      <c r="F125" s="2" t="n"/>
      <c r="G125" s="4" t="n"/>
      <c r="H125" s="2" t="n"/>
      <c r="I125" s="2" t="n"/>
      <c r="J125" s="2">
        <f>IF(C125="","",IF(LEN(C125)&lt;&gt;13,"Nema 13 cifara (ima "&amp;LEN(C125)&amp;")",IF(L125="","JMBG sadrži nešto što nije cifra",IF(N125="","Nepostojeći datum rođenja",IF(VALUE(MID(C125,13,1))&lt;&gt;L125,"Pogrešna kontrolna cifra - treba "&amp;L125,"✓ ispravan")))))</f>
        <v/>
      </c>
      <c r="K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L125">
        <f>IF(K125="","",IF(11-MOD(K125,11)&gt;9,0,11-MOD(K125,11)))</f>
        <v/>
      </c>
      <c r="M125">
        <f>IFERROR(IF(LEN(C125)&lt;&gt;13,"",IF(VALUE(MID(C125,5,3))&gt;=800,1000,2000)+VALUE(MID(C125,5,3))),"")</f>
        <v/>
      </c>
      <c r="N125">
        <f>IFERROR(IF(M125="","",IF(AND(DAY(DATE(M125,VALUE(MID(C125,3,2)),VALUE(MID(C125,1,2))))=VALUE(MID(C125,1,2)),MONTH(DATE(M125,VALUE(MID(C125,3,2)),VALUE(MID(C125,1,2))))=VALUE(MID(C125,3,2))),DATE(M125,VALUE(MID(C125,3,2)),VALUE(MID(C125,1,2))),"")),"")</f>
        <v/>
      </c>
    </row>
    <row r="126">
      <c r="A126" s="2" t="n"/>
      <c r="B126" s="2" t="n"/>
      <c r="C126" s="3" t="n"/>
      <c r="D126" s="2" t="n"/>
      <c r="E126" s="4">
        <f>IF(A126="","",5)</f>
        <v/>
      </c>
      <c r="F126" s="2" t="n"/>
      <c r="G126" s="4" t="n"/>
      <c r="H126" s="2" t="n"/>
      <c r="I126" s="2" t="n"/>
      <c r="J126" s="2">
        <f>IF(C126="","",IF(LEN(C126)&lt;&gt;13,"Nema 13 cifara (ima "&amp;LEN(C126)&amp;")",IF(L126="","JMBG sadrži nešto što nije cifra",IF(N126="","Nepostojeći datum rođenja",IF(VALUE(MID(C126,13,1))&lt;&gt;L126,"Pogrešna kontrolna cifra - treba "&amp;L126,"✓ ispravan")))))</f>
        <v/>
      </c>
      <c r="K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L126">
        <f>IF(K126="","",IF(11-MOD(K126,11)&gt;9,0,11-MOD(K126,11)))</f>
        <v/>
      </c>
      <c r="M126">
        <f>IFERROR(IF(LEN(C126)&lt;&gt;13,"",IF(VALUE(MID(C126,5,3))&gt;=800,1000,2000)+VALUE(MID(C126,5,3))),"")</f>
        <v/>
      </c>
      <c r="N126">
        <f>IFERROR(IF(M126="","",IF(AND(DAY(DATE(M126,VALUE(MID(C126,3,2)),VALUE(MID(C126,1,2))))=VALUE(MID(C126,1,2)),MONTH(DATE(M126,VALUE(MID(C126,3,2)),VALUE(MID(C126,1,2))))=VALUE(MID(C126,3,2))),DATE(M126,VALUE(MID(C126,3,2)),VALUE(MID(C126,1,2))),"")),"")</f>
        <v/>
      </c>
    </row>
    <row r="127">
      <c r="A127" s="2" t="n"/>
      <c r="B127" s="2" t="n"/>
      <c r="C127" s="3" t="n"/>
      <c r="D127" s="2" t="n"/>
      <c r="E127" s="4">
        <f>IF(A127="","",5)</f>
        <v/>
      </c>
      <c r="F127" s="2" t="n"/>
      <c r="G127" s="4" t="n"/>
      <c r="H127" s="2" t="n"/>
      <c r="I127" s="2" t="n"/>
      <c r="J127" s="2">
        <f>IF(C127="","",IF(LEN(C127)&lt;&gt;13,"Nema 13 cifara (ima "&amp;LEN(C127)&amp;")",IF(L127="","JMBG sadrži nešto što nije cifra",IF(N127="","Nepostojeći datum rođenja",IF(VALUE(MID(C127,13,1))&lt;&gt;L127,"Pogrešna kontrolna cifra - treba "&amp;L127,"✓ ispravan")))))</f>
        <v/>
      </c>
      <c r="K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L127">
        <f>IF(K127="","",IF(11-MOD(K127,11)&gt;9,0,11-MOD(K127,11)))</f>
        <v/>
      </c>
      <c r="M127">
        <f>IFERROR(IF(LEN(C127)&lt;&gt;13,"",IF(VALUE(MID(C127,5,3))&gt;=800,1000,2000)+VALUE(MID(C127,5,3))),"")</f>
        <v/>
      </c>
      <c r="N127">
        <f>IFERROR(IF(M127="","",IF(AND(DAY(DATE(M127,VALUE(MID(C127,3,2)),VALUE(MID(C127,1,2))))=VALUE(MID(C127,1,2)),MONTH(DATE(M127,VALUE(MID(C127,3,2)),VALUE(MID(C127,1,2))))=VALUE(MID(C127,3,2))),DATE(M127,VALUE(MID(C127,3,2)),VALUE(MID(C127,1,2))),"")),"")</f>
        <v/>
      </c>
    </row>
    <row r="128">
      <c r="A128" s="2" t="n"/>
      <c r="B128" s="2" t="n"/>
      <c r="C128" s="3" t="n"/>
      <c r="D128" s="2" t="n"/>
      <c r="E128" s="4">
        <f>IF(A128="","",5)</f>
        <v/>
      </c>
      <c r="F128" s="2" t="n"/>
      <c r="G128" s="4" t="n"/>
      <c r="H128" s="2" t="n"/>
      <c r="I128" s="2" t="n"/>
      <c r="J128" s="2">
        <f>IF(C128="","",IF(LEN(C128)&lt;&gt;13,"Nema 13 cifara (ima "&amp;LEN(C128)&amp;")",IF(L128="","JMBG sadrži nešto što nije cifra",IF(N128="","Nepostojeći datum rođenja",IF(VALUE(MID(C128,13,1))&lt;&gt;L128,"Pogrešna kontrolna cifra - treba "&amp;L128,"✓ ispravan")))))</f>
        <v/>
      </c>
      <c r="K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L128">
        <f>IF(K128="","",IF(11-MOD(K128,11)&gt;9,0,11-MOD(K128,11)))</f>
        <v/>
      </c>
      <c r="M128">
        <f>IFERROR(IF(LEN(C128)&lt;&gt;13,"",IF(VALUE(MID(C128,5,3))&gt;=800,1000,2000)+VALUE(MID(C128,5,3))),"")</f>
        <v/>
      </c>
      <c r="N128">
        <f>IFERROR(IF(M128="","",IF(AND(DAY(DATE(M128,VALUE(MID(C128,3,2)),VALUE(MID(C128,1,2))))=VALUE(MID(C128,1,2)),MONTH(DATE(M128,VALUE(MID(C128,3,2)),VALUE(MID(C128,1,2))))=VALUE(MID(C128,3,2))),DATE(M128,VALUE(MID(C128,3,2)),VALUE(MID(C128,1,2))),"")),"")</f>
        <v/>
      </c>
    </row>
    <row r="129">
      <c r="A129" s="2" t="n"/>
      <c r="B129" s="2" t="n"/>
      <c r="C129" s="3" t="n"/>
      <c r="D129" s="2" t="n"/>
      <c r="E129" s="4">
        <f>IF(A129="","",5)</f>
        <v/>
      </c>
      <c r="F129" s="2" t="n"/>
      <c r="G129" s="4" t="n"/>
      <c r="H129" s="2" t="n"/>
      <c r="I129" s="2" t="n"/>
      <c r="J129" s="2">
        <f>IF(C129="","",IF(LEN(C129)&lt;&gt;13,"Nema 13 cifara (ima "&amp;LEN(C129)&amp;")",IF(L129="","JMBG sadrži nešto što nije cifra",IF(N129="","Nepostojeći datum rođenja",IF(VALUE(MID(C129,13,1))&lt;&gt;L129,"Pogrešna kontrolna cifra - treba "&amp;L129,"✓ ispravan")))))</f>
        <v/>
      </c>
      <c r="K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L129">
        <f>IF(K129="","",IF(11-MOD(K129,11)&gt;9,0,11-MOD(K129,11)))</f>
        <v/>
      </c>
      <c r="M129">
        <f>IFERROR(IF(LEN(C129)&lt;&gt;13,"",IF(VALUE(MID(C129,5,3))&gt;=800,1000,2000)+VALUE(MID(C129,5,3))),"")</f>
        <v/>
      </c>
      <c r="N129">
        <f>IFERROR(IF(M129="","",IF(AND(DAY(DATE(M129,VALUE(MID(C129,3,2)),VALUE(MID(C129,1,2))))=VALUE(MID(C129,1,2)),MONTH(DATE(M129,VALUE(MID(C129,3,2)),VALUE(MID(C129,1,2))))=VALUE(MID(C129,3,2))),DATE(M129,VALUE(MID(C129,3,2)),VALUE(MID(C129,1,2))),"")),"")</f>
        <v/>
      </c>
    </row>
    <row r="130">
      <c r="A130" s="2" t="n"/>
      <c r="B130" s="2" t="n"/>
      <c r="C130" s="3" t="n"/>
      <c r="D130" s="2" t="n"/>
      <c r="E130" s="4">
        <f>IF(A130="","",5)</f>
        <v/>
      </c>
      <c r="F130" s="2" t="n"/>
      <c r="G130" s="4" t="n"/>
      <c r="H130" s="2" t="n"/>
      <c r="I130" s="2" t="n"/>
      <c r="J130" s="2">
        <f>IF(C130="","",IF(LEN(C130)&lt;&gt;13,"Nema 13 cifara (ima "&amp;LEN(C130)&amp;")",IF(L130="","JMBG sadrži nešto što nije cifra",IF(N130="","Nepostojeći datum rođenja",IF(VALUE(MID(C130,13,1))&lt;&gt;L130,"Pogrešna kontrolna cifra - treba "&amp;L130,"✓ ispravan")))))</f>
        <v/>
      </c>
      <c r="K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L130">
        <f>IF(K130="","",IF(11-MOD(K130,11)&gt;9,0,11-MOD(K130,11)))</f>
        <v/>
      </c>
      <c r="M130">
        <f>IFERROR(IF(LEN(C130)&lt;&gt;13,"",IF(VALUE(MID(C130,5,3))&gt;=800,1000,2000)+VALUE(MID(C130,5,3))),"")</f>
        <v/>
      </c>
      <c r="N130">
        <f>IFERROR(IF(M130="","",IF(AND(DAY(DATE(M130,VALUE(MID(C130,3,2)),VALUE(MID(C130,1,2))))=VALUE(MID(C130,1,2)),MONTH(DATE(M130,VALUE(MID(C130,3,2)),VALUE(MID(C130,1,2))))=VALUE(MID(C130,3,2))),DATE(M130,VALUE(MID(C130,3,2)),VALUE(MID(C130,1,2))),"")),"")</f>
        <v/>
      </c>
    </row>
    <row r="131">
      <c r="A131" s="2" t="n"/>
      <c r="B131" s="2" t="n"/>
      <c r="C131" s="3" t="n"/>
      <c r="D131" s="2" t="n"/>
      <c r="E131" s="4">
        <f>IF(A131="","",5)</f>
        <v/>
      </c>
      <c r="F131" s="2" t="n"/>
      <c r="G131" s="4" t="n"/>
      <c r="H131" s="2" t="n"/>
      <c r="I131" s="2" t="n"/>
      <c r="J131" s="2">
        <f>IF(C131="","",IF(LEN(C131)&lt;&gt;13,"Nema 13 cifara (ima "&amp;LEN(C131)&amp;")",IF(L131="","JMBG sadrži nešto što nije cifra",IF(N131="","Nepostojeći datum rođenja",IF(VALUE(MID(C131,13,1))&lt;&gt;L131,"Pogrešna kontrolna cifra - treba "&amp;L131,"✓ ispravan")))))</f>
        <v/>
      </c>
      <c r="K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L131">
        <f>IF(K131="","",IF(11-MOD(K131,11)&gt;9,0,11-MOD(K131,11)))</f>
        <v/>
      </c>
      <c r="M131">
        <f>IFERROR(IF(LEN(C131)&lt;&gt;13,"",IF(VALUE(MID(C131,5,3))&gt;=800,1000,2000)+VALUE(MID(C131,5,3))),"")</f>
        <v/>
      </c>
      <c r="N131">
        <f>IFERROR(IF(M131="","",IF(AND(DAY(DATE(M131,VALUE(MID(C131,3,2)),VALUE(MID(C131,1,2))))=VALUE(MID(C131,1,2)),MONTH(DATE(M131,VALUE(MID(C131,3,2)),VALUE(MID(C131,1,2))))=VALUE(MID(C131,3,2))),DATE(M131,VALUE(MID(C131,3,2)),VALUE(MID(C131,1,2))),"")),"")</f>
        <v/>
      </c>
    </row>
    <row r="132">
      <c r="A132" s="2" t="n"/>
      <c r="B132" s="2" t="n"/>
      <c r="C132" s="3" t="n"/>
      <c r="D132" s="2" t="n"/>
      <c r="E132" s="4">
        <f>IF(A132="","",5)</f>
        <v/>
      </c>
      <c r="F132" s="2" t="n"/>
      <c r="G132" s="4" t="n"/>
      <c r="H132" s="2" t="n"/>
      <c r="I132" s="2" t="n"/>
      <c r="J132" s="2">
        <f>IF(C132="","",IF(LEN(C132)&lt;&gt;13,"Nema 13 cifara (ima "&amp;LEN(C132)&amp;")",IF(L132="","JMBG sadrži nešto što nije cifra",IF(N132="","Nepostojeći datum rođenja",IF(VALUE(MID(C132,13,1))&lt;&gt;L132,"Pogrešna kontrolna cifra - treba "&amp;L132,"✓ ispravan")))))</f>
        <v/>
      </c>
      <c r="K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L132">
        <f>IF(K132="","",IF(11-MOD(K132,11)&gt;9,0,11-MOD(K132,11)))</f>
        <v/>
      </c>
      <c r="M132">
        <f>IFERROR(IF(LEN(C132)&lt;&gt;13,"",IF(VALUE(MID(C132,5,3))&gt;=800,1000,2000)+VALUE(MID(C132,5,3))),"")</f>
        <v/>
      </c>
      <c r="N132">
        <f>IFERROR(IF(M132="","",IF(AND(DAY(DATE(M132,VALUE(MID(C132,3,2)),VALUE(MID(C132,1,2))))=VALUE(MID(C132,1,2)),MONTH(DATE(M132,VALUE(MID(C132,3,2)),VALUE(MID(C132,1,2))))=VALUE(MID(C132,3,2))),DATE(M132,VALUE(MID(C132,3,2)),VALUE(MID(C132,1,2))),"")),"")</f>
        <v/>
      </c>
    </row>
    <row r="133">
      <c r="A133" s="2" t="n"/>
      <c r="B133" s="2" t="n"/>
      <c r="C133" s="3" t="n"/>
      <c r="D133" s="2" t="n"/>
      <c r="E133" s="4">
        <f>IF(A133="","",5)</f>
        <v/>
      </c>
      <c r="F133" s="2" t="n"/>
      <c r="G133" s="4" t="n"/>
      <c r="H133" s="2" t="n"/>
      <c r="I133" s="2" t="n"/>
      <c r="J133" s="2">
        <f>IF(C133="","",IF(LEN(C133)&lt;&gt;13,"Nema 13 cifara (ima "&amp;LEN(C133)&amp;")",IF(L133="","JMBG sadrži nešto što nije cifra",IF(N133="","Nepostojeći datum rođenja",IF(VALUE(MID(C133,13,1))&lt;&gt;L133,"Pogrešna kontrolna cifra - treba "&amp;L133,"✓ ispravan")))))</f>
        <v/>
      </c>
      <c r="K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L133">
        <f>IF(K133="","",IF(11-MOD(K133,11)&gt;9,0,11-MOD(K133,11)))</f>
        <v/>
      </c>
      <c r="M133">
        <f>IFERROR(IF(LEN(C133)&lt;&gt;13,"",IF(VALUE(MID(C133,5,3))&gt;=800,1000,2000)+VALUE(MID(C133,5,3))),"")</f>
        <v/>
      </c>
      <c r="N133">
        <f>IFERROR(IF(M133="","",IF(AND(DAY(DATE(M133,VALUE(MID(C133,3,2)),VALUE(MID(C133,1,2))))=VALUE(MID(C133,1,2)),MONTH(DATE(M133,VALUE(MID(C133,3,2)),VALUE(MID(C133,1,2))))=VALUE(MID(C133,3,2))),DATE(M133,VALUE(MID(C133,3,2)),VALUE(MID(C133,1,2))),"")),"")</f>
        <v/>
      </c>
    </row>
    <row r="134">
      <c r="A134" s="2" t="n"/>
      <c r="B134" s="2" t="n"/>
      <c r="C134" s="3" t="n"/>
      <c r="D134" s="2" t="n"/>
      <c r="E134" s="4">
        <f>IF(A134="","",5)</f>
        <v/>
      </c>
      <c r="F134" s="2" t="n"/>
      <c r="G134" s="4" t="n"/>
      <c r="H134" s="2" t="n"/>
      <c r="I134" s="2" t="n"/>
      <c r="J134" s="2">
        <f>IF(C134="","",IF(LEN(C134)&lt;&gt;13,"Nema 13 cifara (ima "&amp;LEN(C134)&amp;")",IF(L134="","JMBG sadrži nešto što nije cifra",IF(N134="","Nepostojeći datum rođenja",IF(VALUE(MID(C134,13,1))&lt;&gt;L134,"Pogrešna kontrolna cifra - treba "&amp;L134,"✓ ispravan")))))</f>
        <v/>
      </c>
      <c r="K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L134">
        <f>IF(K134="","",IF(11-MOD(K134,11)&gt;9,0,11-MOD(K134,11)))</f>
        <v/>
      </c>
      <c r="M134">
        <f>IFERROR(IF(LEN(C134)&lt;&gt;13,"",IF(VALUE(MID(C134,5,3))&gt;=800,1000,2000)+VALUE(MID(C134,5,3))),"")</f>
        <v/>
      </c>
      <c r="N134">
        <f>IFERROR(IF(M134="","",IF(AND(DAY(DATE(M134,VALUE(MID(C134,3,2)),VALUE(MID(C134,1,2))))=VALUE(MID(C134,1,2)),MONTH(DATE(M134,VALUE(MID(C134,3,2)),VALUE(MID(C134,1,2))))=VALUE(MID(C134,3,2))),DATE(M134,VALUE(MID(C134,3,2)),VALUE(MID(C134,1,2))),"")),"")</f>
        <v/>
      </c>
    </row>
    <row r="135">
      <c r="A135" s="2" t="n"/>
      <c r="B135" s="2" t="n"/>
      <c r="C135" s="3" t="n"/>
      <c r="D135" s="2" t="n"/>
      <c r="E135" s="4">
        <f>IF(A135="","",5)</f>
        <v/>
      </c>
      <c r="F135" s="2" t="n"/>
      <c r="G135" s="4" t="n"/>
      <c r="H135" s="2" t="n"/>
      <c r="I135" s="2" t="n"/>
      <c r="J135" s="2">
        <f>IF(C135="","",IF(LEN(C135)&lt;&gt;13,"Nema 13 cifara (ima "&amp;LEN(C135)&amp;")",IF(L135="","JMBG sadrži nešto što nije cifra",IF(N135="","Nepostojeći datum rođenja",IF(VALUE(MID(C135,13,1))&lt;&gt;L135,"Pogrešna kontrolna cifra - treba "&amp;L135,"✓ ispravan")))))</f>
        <v/>
      </c>
      <c r="K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L135">
        <f>IF(K135="","",IF(11-MOD(K135,11)&gt;9,0,11-MOD(K135,11)))</f>
        <v/>
      </c>
      <c r="M135">
        <f>IFERROR(IF(LEN(C135)&lt;&gt;13,"",IF(VALUE(MID(C135,5,3))&gt;=800,1000,2000)+VALUE(MID(C135,5,3))),"")</f>
        <v/>
      </c>
      <c r="N135">
        <f>IFERROR(IF(M135="","",IF(AND(DAY(DATE(M135,VALUE(MID(C135,3,2)),VALUE(MID(C135,1,2))))=VALUE(MID(C135,1,2)),MONTH(DATE(M135,VALUE(MID(C135,3,2)),VALUE(MID(C135,1,2))))=VALUE(MID(C135,3,2))),DATE(M135,VALUE(MID(C135,3,2)),VALUE(MID(C135,1,2))),"")),"")</f>
        <v/>
      </c>
    </row>
    <row r="136">
      <c r="A136" s="2" t="n"/>
      <c r="B136" s="2" t="n"/>
      <c r="C136" s="3" t="n"/>
      <c r="D136" s="2" t="n"/>
      <c r="E136" s="4">
        <f>IF(A136="","",5)</f>
        <v/>
      </c>
      <c r="F136" s="2" t="n"/>
      <c r="G136" s="4" t="n"/>
      <c r="H136" s="2" t="n"/>
      <c r="I136" s="2" t="n"/>
      <c r="J136" s="2">
        <f>IF(C136="","",IF(LEN(C136)&lt;&gt;13,"Nema 13 cifara (ima "&amp;LEN(C136)&amp;")",IF(L136="","JMBG sadrži nešto što nije cifra",IF(N136="","Nepostojeći datum rođenja",IF(VALUE(MID(C136,13,1))&lt;&gt;L136,"Pogrešna kontrolna cifra - treba "&amp;L136,"✓ ispravan")))))</f>
        <v/>
      </c>
      <c r="K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L136">
        <f>IF(K136="","",IF(11-MOD(K136,11)&gt;9,0,11-MOD(K136,11)))</f>
        <v/>
      </c>
      <c r="M136">
        <f>IFERROR(IF(LEN(C136)&lt;&gt;13,"",IF(VALUE(MID(C136,5,3))&gt;=800,1000,2000)+VALUE(MID(C136,5,3))),"")</f>
        <v/>
      </c>
      <c r="N136">
        <f>IFERROR(IF(M136="","",IF(AND(DAY(DATE(M136,VALUE(MID(C136,3,2)),VALUE(MID(C136,1,2))))=VALUE(MID(C136,1,2)),MONTH(DATE(M136,VALUE(MID(C136,3,2)),VALUE(MID(C136,1,2))))=VALUE(MID(C136,3,2))),DATE(M136,VALUE(MID(C136,3,2)),VALUE(MID(C136,1,2))),"")),"")</f>
        <v/>
      </c>
    </row>
    <row r="137">
      <c r="A137" s="2" t="n"/>
      <c r="B137" s="2" t="n"/>
      <c r="C137" s="3" t="n"/>
      <c r="D137" s="2" t="n"/>
      <c r="E137" s="4">
        <f>IF(A137="","",5)</f>
        <v/>
      </c>
      <c r="F137" s="2" t="n"/>
      <c r="G137" s="4" t="n"/>
      <c r="H137" s="2" t="n"/>
      <c r="I137" s="2" t="n"/>
      <c r="J137" s="2">
        <f>IF(C137="","",IF(LEN(C137)&lt;&gt;13,"Nema 13 cifara (ima "&amp;LEN(C137)&amp;")",IF(L137="","JMBG sadrži nešto što nije cifra",IF(N137="","Nepostojeći datum rođenja",IF(VALUE(MID(C137,13,1))&lt;&gt;L137,"Pogrešna kontrolna cifra - treba "&amp;L137,"✓ ispravan")))))</f>
        <v/>
      </c>
      <c r="K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L137">
        <f>IF(K137="","",IF(11-MOD(K137,11)&gt;9,0,11-MOD(K137,11)))</f>
        <v/>
      </c>
      <c r="M137">
        <f>IFERROR(IF(LEN(C137)&lt;&gt;13,"",IF(VALUE(MID(C137,5,3))&gt;=800,1000,2000)+VALUE(MID(C137,5,3))),"")</f>
        <v/>
      </c>
      <c r="N137">
        <f>IFERROR(IF(M137="","",IF(AND(DAY(DATE(M137,VALUE(MID(C137,3,2)),VALUE(MID(C137,1,2))))=VALUE(MID(C137,1,2)),MONTH(DATE(M137,VALUE(MID(C137,3,2)),VALUE(MID(C137,1,2))))=VALUE(MID(C137,3,2))),DATE(M137,VALUE(MID(C137,3,2)),VALUE(MID(C137,1,2))),"")),"")</f>
        <v/>
      </c>
    </row>
    <row r="138">
      <c r="A138" s="2" t="n"/>
      <c r="B138" s="2" t="n"/>
      <c r="C138" s="3" t="n"/>
      <c r="D138" s="2" t="n"/>
      <c r="E138" s="4">
        <f>IF(A138="","",5)</f>
        <v/>
      </c>
      <c r="F138" s="2" t="n"/>
      <c r="G138" s="4" t="n"/>
      <c r="H138" s="2" t="n"/>
      <c r="I138" s="2" t="n"/>
      <c r="J138" s="2">
        <f>IF(C138="","",IF(LEN(C138)&lt;&gt;13,"Nema 13 cifara (ima "&amp;LEN(C138)&amp;")",IF(L138="","JMBG sadrži nešto što nije cifra",IF(N138="","Nepostojeći datum rođenja",IF(VALUE(MID(C138,13,1))&lt;&gt;L138,"Pogrešna kontrolna cifra - treba "&amp;L138,"✓ ispravan")))))</f>
        <v/>
      </c>
      <c r="K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L138">
        <f>IF(K138="","",IF(11-MOD(K138,11)&gt;9,0,11-MOD(K138,11)))</f>
        <v/>
      </c>
      <c r="M138">
        <f>IFERROR(IF(LEN(C138)&lt;&gt;13,"",IF(VALUE(MID(C138,5,3))&gt;=800,1000,2000)+VALUE(MID(C138,5,3))),"")</f>
        <v/>
      </c>
      <c r="N138">
        <f>IFERROR(IF(M138="","",IF(AND(DAY(DATE(M138,VALUE(MID(C138,3,2)),VALUE(MID(C138,1,2))))=VALUE(MID(C138,1,2)),MONTH(DATE(M138,VALUE(MID(C138,3,2)),VALUE(MID(C138,1,2))))=VALUE(MID(C138,3,2))),DATE(M138,VALUE(MID(C138,3,2)),VALUE(MID(C138,1,2))),"")),"")</f>
        <v/>
      </c>
    </row>
    <row r="139">
      <c r="A139" s="2" t="n"/>
      <c r="B139" s="2" t="n"/>
      <c r="C139" s="3" t="n"/>
      <c r="D139" s="2" t="n"/>
      <c r="E139" s="4">
        <f>IF(A139="","",5)</f>
        <v/>
      </c>
      <c r="F139" s="2" t="n"/>
      <c r="G139" s="4" t="n"/>
      <c r="H139" s="2" t="n"/>
      <c r="I139" s="2" t="n"/>
      <c r="J139" s="2">
        <f>IF(C139="","",IF(LEN(C139)&lt;&gt;13,"Nema 13 cifara (ima "&amp;LEN(C139)&amp;")",IF(L139="","JMBG sadrži nešto što nije cifra",IF(N139="","Nepostojeći datum rođenja",IF(VALUE(MID(C139,13,1))&lt;&gt;L139,"Pogrešna kontrolna cifra - treba "&amp;L139,"✓ ispravan")))))</f>
        <v/>
      </c>
      <c r="K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L139">
        <f>IF(K139="","",IF(11-MOD(K139,11)&gt;9,0,11-MOD(K139,11)))</f>
        <v/>
      </c>
      <c r="M139">
        <f>IFERROR(IF(LEN(C139)&lt;&gt;13,"",IF(VALUE(MID(C139,5,3))&gt;=800,1000,2000)+VALUE(MID(C139,5,3))),"")</f>
        <v/>
      </c>
      <c r="N139">
        <f>IFERROR(IF(M139="","",IF(AND(DAY(DATE(M139,VALUE(MID(C139,3,2)),VALUE(MID(C139,1,2))))=VALUE(MID(C139,1,2)),MONTH(DATE(M139,VALUE(MID(C139,3,2)),VALUE(MID(C139,1,2))))=VALUE(MID(C139,3,2))),DATE(M139,VALUE(MID(C139,3,2)),VALUE(MID(C139,1,2))),"")),"")</f>
        <v/>
      </c>
    </row>
    <row r="140">
      <c r="A140" s="2" t="n"/>
      <c r="B140" s="2" t="n"/>
      <c r="C140" s="3" t="n"/>
      <c r="D140" s="2" t="n"/>
      <c r="E140" s="4">
        <f>IF(A140="","",5)</f>
        <v/>
      </c>
      <c r="F140" s="2" t="n"/>
      <c r="G140" s="4" t="n"/>
      <c r="H140" s="2" t="n"/>
      <c r="I140" s="2" t="n"/>
      <c r="J140" s="2">
        <f>IF(C140="","",IF(LEN(C140)&lt;&gt;13,"Nema 13 cifara (ima "&amp;LEN(C140)&amp;")",IF(L140="","JMBG sadrži nešto što nije cifra",IF(N140="","Nepostojeći datum rođenja",IF(VALUE(MID(C140,13,1))&lt;&gt;L140,"Pogrešna kontrolna cifra - treba "&amp;L140,"✓ ispravan")))))</f>
        <v/>
      </c>
      <c r="K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L140">
        <f>IF(K140="","",IF(11-MOD(K140,11)&gt;9,0,11-MOD(K140,11)))</f>
        <v/>
      </c>
      <c r="M140">
        <f>IFERROR(IF(LEN(C140)&lt;&gt;13,"",IF(VALUE(MID(C140,5,3))&gt;=800,1000,2000)+VALUE(MID(C140,5,3))),"")</f>
        <v/>
      </c>
      <c r="N140">
        <f>IFERROR(IF(M140="","",IF(AND(DAY(DATE(M140,VALUE(MID(C140,3,2)),VALUE(MID(C140,1,2))))=VALUE(MID(C140,1,2)),MONTH(DATE(M140,VALUE(MID(C140,3,2)),VALUE(MID(C140,1,2))))=VALUE(MID(C140,3,2))),DATE(M140,VALUE(MID(C140,3,2)),VALUE(MID(C140,1,2))),"")),"")</f>
        <v/>
      </c>
    </row>
    <row r="141">
      <c r="A141" s="2" t="n"/>
      <c r="B141" s="2" t="n"/>
      <c r="C141" s="3" t="n"/>
      <c r="D141" s="2" t="n"/>
      <c r="E141" s="4">
        <f>IF(A141="","",5)</f>
        <v/>
      </c>
      <c r="F141" s="2" t="n"/>
      <c r="G141" s="4" t="n"/>
      <c r="H141" s="2" t="n"/>
      <c r="I141" s="2" t="n"/>
      <c r="J141" s="2">
        <f>IF(C141="","",IF(LEN(C141)&lt;&gt;13,"Nema 13 cifara (ima "&amp;LEN(C141)&amp;")",IF(L141="","JMBG sadrži nešto što nije cifra",IF(N141="","Nepostojeći datum rođenja",IF(VALUE(MID(C141,13,1))&lt;&gt;L141,"Pogrešna kontrolna cifra - treba "&amp;L141,"✓ ispravan")))))</f>
        <v/>
      </c>
      <c r="K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L141">
        <f>IF(K141="","",IF(11-MOD(K141,11)&gt;9,0,11-MOD(K141,11)))</f>
        <v/>
      </c>
      <c r="M141">
        <f>IFERROR(IF(LEN(C141)&lt;&gt;13,"",IF(VALUE(MID(C141,5,3))&gt;=800,1000,2000)+VALUE(MID(C141,5,3))),"")</f>
        <v/>
      </c>
      <c r="N141">
        <f>IFERROR(IF(M141="","",IF(AND(DAY(DATE(M141,VALUE(MID(C141,3,2)),VALUE(MID(C141,1,2))))=VALUE(MID(C141,1,2)),MONTH(DATE(M141,VALUE(MID(C141,3,2)),VALUE(MID(C141,1,2))))=VALUE(MID(C141,3,2))),DATE(M141,VALUE(MID(C141,3,2)),VALUE(MID(C141,1,2))),"")),"")</f>
        <v/>
      </c>
    </row>
    <row r="142">
      <c r="A142" s="2" t="n"/>
      <c r="B142" s="2" t="n"/>
      <c r="C142" s="3" t="n"/>
      <c r="D142" s="2" t="n"/>
      <c r="E142" s="4">
        <f>IF(A142="","",5)</f>
        <v/>
      </c>
      <c r="F142" s="2" t="n"/>
      <c r="G142" s="4" t="n"/>
      <c r="H142" s="2" t="n"/>
      <c r="I142" s="2" t="n"/>
      <c r="J142" s="2">
        <f>IF(C142="","",IF(LEN(C142)&lt;&gt;13,"Nema 13 cifara (ima "&amp;LEN(C142)&amp;")",IF(L142="","JMBG sadrži nešto što nije cifra",IF(N142="","Nepostojeći datum rođenja",IF(VALUE(MID(C142,13,1))&lt;&gt;L142,"Pogrešna kontrolna cifra - treba "&amp;L142,"✓ ispravan")))))</f>
        <v/>
      </c>
      <c r="K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L142">
        <f>IF(K142="","",IF(11-MOD(K142,11)&gt;9,0,11-MOD(K142,11)))</f>
        <v/>
      </c>
      <c r="M142">
        <f>IFERROR(IF(LEN(C142)&lt;&gt;13,"",IF(VALUE(MID(C142,5,3))&gt;=800,1000,2000)+VALUE(MID(C142,5,3))),"")</f>
        <v/>
      </c>
      <c r="N142">
        <f>IFERROR(IF(M142="","",IF(AND(DAY(DATE(M142,VALUE(MID(C142,3,2)),VALUE(MID(C142,1,2))))=VALUE(MID(C142,1,2)),MONTH(DATE(M142,VALUE(MID(C142,3,2)),VALUE(MID(C142,1,2))))=VALUE(MID(C142,3,2))),DATE(M142,VALUE(MID(C142,3,2)),VALUE(MID(C142,1,2))),"")),"")</f>
        <v/>
      </c>
    </row>
    <row r="143">
      <c r="A143" s="2" t="n"/>
      <c r="B143" s="2" t="n"/>
      <c r="C143" s="3" t="n"/>
      <c r="D143" s="2" t="n"/>
      <c r="E143" s="4">
        <f>IF(A143="","",5)</f>
        <v/>
      </c>
      <c r="F143" s="2" t="n"/>
      <c r="G143" s="4" t="n"/>
      <c r="H143" s="2" t="n"/>
      <c r="I143" s="2" t="n"/>
      <c r="J143" s="2">
        <f>IF(C143="","",IF(LEN(C143)&lt;&gt;13,"Nema 13 cifara (ima "&amp;LEN(C143)&amp;")",IF(L143="","JMBG sadrži nešto što nije cifra",IF(N143="","Nepostojeći datum rođenja",IF(VALUE(MID(C143,13,1))&lt;&gt;L143,"Pogrešna kontrolna cifra - treba "&amp;L143,"✓ ispravan")))))</f>
        <v/>
      </c>
      <c r="K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L143">
        <f>IF(K143="","",IF(11-MOD(K143,11)&gt;9,0,11-MOD(K143,11)))</f>
        <v/>
      </c>
      <c r="M143">
        <f>IFERROR(IF(LEN(C143)&lt;&gt;13,"",IF(VALUE(MID(C143,5,3))&gt;=800,1000,2000)+VALUE(MID(C143,5,3))),"")</f>
        <v/>
      </c>
      <c r="N143">
        <f>IFERROR(IF(M143="","",IF(AND(DAY(DATE(M143,VALUE(MID(C143,3,2)),VALUE(MID(C143,1,2))))=VALUE(MID(C143,1,2)),MONTH(DATE(M143,VALUE(MID(C143,3,2)),VALUE(MID(C143,1,2))))=VALUE(MID(C143,3,2))),DATE(M143,VALUE(MID(C143,3,2)),VALUE(MID(C143,1,2))),"")),"")</f>
        <v/>
      </c>
    </row>
    <row r="144">
      <c r="A144" s="2" t="n"/>
      <c r="B144" s="2" t="n"/>
      <c r="C144" s="3" t="n"/>
      <c r="D144" s="2" t="n"/>
      <c r="E144" s="4">
        <f>IF(A144="","",5)</f>
        <v/>
      </c>
      <c r="F144" s="2" t="n"/>
      <c r="G144" s="4" t="n"/>
      <c r="H144" s="2" t="n"/>
      <c r="I144" s="2" t="n"/>
      <c r="J144" s="2">
        <f>IF(C144="","",IF(LEN(C144)&lt;&gt;13,"Nema 13 cifara (ima "&amp;LEN(C144)&amp;")",IF(L144="","JMBG sadrži nešto što nije cifra",IF(N144="","Nepostojeći datum rođenja",IF(VALUE(MID(C144,13,1))&lt;&gt;L144,"Pogrešna kontrolna cifra - treba "&amp;L144,"✓ ispravan")))))</f>
        <v/>
      </c>
      <c r="K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L144">
        <f>IF(K144="","",IF(11-MOD(K144,11)&gt;9,0,11-MOD(K144,11)))</f>
        <v/>
      </c>
      <c r="M144">
        <f>IFERROR(IF(LEN(C144)&lt;&gt;13,"",IF(VALUE(MID(C144,5,3))&gt;=800,1000,2000)+VALUE(MID(C144,5,3))),"")</f>
        <v/>
      </c>
      <c r="N144">
        <f>IFERROR(IF(M144="","",IF(AND(DAY(DATE(M144,VALUE(MID(C144,3,2)),VALUE(MID(C144,1,2))))=VALUE(MID(C144,1,2)),MONTH(DATE(M144,VALUE(MID(C144,3,2)),VALUE(MID(C144,1,2))))=VALUE(MID(C144,3,2))),DATE(M144,VALUE(MID(C144,3,2)),VALUE(MID(C144,1,2))),"")),"")</f>
        <v/>
      </c>
    </row>
    <row r="145">
      <c r="A145" s="2" t="n"/>
      <c r="B145" s="2" t="n"/>
      <c r="C145" s="3" t="n"/>
      <c r="D145" s="2" t="n"/>
      <c r="E145" s="4">
        <f>IF(A145="","",5)</f>
        <v/>
      </c>
      <c r="F145" s="2" t="n"/>
      <c r="G145" s="4" t="n"/>
      <c r="H145" s="2" t="n"/>
      <c r="I145" s="2" t="n"/>
      <c r="J145" s="2">
        <f>IF(C145="","",IF(LEN(C145)&lt;&gt;13,"Nema 13 cifara (ima "&amp;LEN(C145)&amp;")",IF(L145="","JMBG sadrži nešto što nije cifra",IF(N145="","Nepostojeći datum rođenja",IF(VALUE(MID(C145,13,1))&lt;&gt;L145,"Pogrešna kontrolna cifra - treba "&amp;L145,"✓ ispravan")))))</f>
        <v/>
      </c>
      <c r="K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L145">
        <f>IF(K145="","",IF(11-MOD(K145,11)&gt;9,0,11-MOD(K145,11)))</f>
        <v/>
      </c>
      <c r="M145">
        <f>IFERROR(IF(LEN(C145)&lt;&gt;13,"",IF(VALUE(MID(C145,5,3))&gt;=800,1000,2000)+VALUE(MID(C145,5,3))),"")</f>
        <v/>
      </c>
      <c r="N145">
        <f>IFERROR(IF(M145="","",IF(AND(DAY(DATE(M145,VALUE(MID(C145,3,2)),VALUE(MID(C145,1,2))))=VALUE(MID(C145,1,2)),MONTH(DATE(M145,VALUE(MID(C145,3,2)),VALUE(MID(C145,1,2))))=VALUE(MID(C145,3,2))),DATE(M145,VALUE(MID(C145,3,2)),VALUE(MID(C145,1,2))),"")),"")</f>
        <v/>
      </c>
    </row>
    <row r="146">
      <c r="A146" s="2" t="n"/>
      <c r="B146" s="2" t="n"/>
      <c r="C146" s="3" t="n"/>
      <c r="D146" s="2" t="n"/>
      <c r="E146" s="4">
        <f>IF(A146="","",5)</f>
        <v/>
      </c>
      <c r="F146" s="2" t="n"/>
      <c r="G146" s="4" t="n"/>
      <c r="H146" s="2" t="n"/>
      <c r="I146" s="2" t="n"/>
      <c r="J146" s="2">
        <f>IF(C146="","",IF(LEN(C146)&lt;&gt;13,"Nema 13 cifara (ima "&amp;LEN(C146)&amp;")",IF(L146="","JMBG sadrži nešto što nije cifra",IF(N146="","Nepostojeći datum rođenja",IF(VALUE(MID(C146,13,1))&lt;&gt;L146,"Pogrešna kontrolna cifra - treba "&amp;L146,"✓ ispravan")))))</f>
        <v/>
      </c>
      <c r="K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L146">
        <f>IF(K146="","",IF(11-MOD(K146,11)&gt;9,0,11-MOD(K146,11)))</f>
        <v/>
      </c>
      <c r="M146">
        <f>IFERROR(IF(LEN(C146)&lt;&gt;13,"",IF(VALUE(MID(C146,5,3))&gt;=800,1000,2000)+VALUE(MID(C146,5,3))),"")</f>
        <v/>
      </c>
      <c r="N146">
        <f>IFERROR(IF(M146="","",IF(AND(DAY(DATE(M146,VALUE(MID(C146,3,2)),VALUE(MID(C146,1,2))))=VALUE(MID(C146,1,2)),MONTH(DATE(M146,VALUE(MID(C146,3,2)),VALUE(MID(C146,1,2))))=VALUE(MID(C146,3,2))),DATE(M146,VALUE(MID(C146,3,2)),VALUE(MID(C146,1,2))),"")),"")</f>
        <v/>
      </c>
    </row>
    <row r="147">
      <c r="A147" s="2" t="n"/>
      <c r="B147" s="2" t="n"/>
      <c r="C147" s="3" t="n"/>
      <c r="D147" s="2" t="n"/>
      <c r="E147" s="4">
        <f>IF(A147="","",5)</f>
        <v/>
      </c>
      <c r="F147" s="2" t="n"/>
      <c r="G147" s="4" t="n"/>
      <c r="H147" s="2" t="n"/>
      <c r="I147" s="2" t="n"/>
      <c r="J147" s="2">
        <f>IF(C147="","",IF(LEN(C147)&lt;&gt;13,"Nema 13 cifara (ima "&amp;LEN(C147)&amp;")",IF(L147="","JMBG sadrži nešto što nije cifra",IF(N147="","Nepostojeći datum rođenja",IF(VALUE(MID(C147,13,1))&lt;&gt;L147,"Pogrešna kontrolna cifra - treba "&amp;L147,"✓ ispravan")))))</f>
        <v/>
      </c>
      <c r="K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L147">
        <f>IF(K147="","",IF(11-MOD(K147,11)&gt;9,0,11-MOD(K147,11)))</f>
        <v/>
      </c>
      <c r="M147">
        <f>IFERROR(IF(LEN(C147)&lt;&gt;13,"",IF(VALUE(MID(C147,5,3))&gt;=800,1000,2000)+VALUE(MID(C147,5,3))),"")</f>
        <v/>
      </c>
      <c r="N147">
        <f>IFERROR(IF(M147="","",IF(AND(DAY(DATE(M147,VALUE(MID(C147,3,2)),VALUE(MID(C147,1,2))))=VALUE(MID(C147,1,2)),MONTH(DATE(M147,VALUE(MID(C147,3,2)),VALUE(MID(C147,1,2))))=VALUE(MID(C147,3,2))),DATE(M147,VALUE(MID(C147,3,2)),VALUE(MID(C147,1,2))),"")),"")</f>
        <v/>
      </c>
    </row>
    <row r="148">
      <c r="A148" s="2" t="n"/>
      <c r="B148" s="2" t="n"/>
      <c r="C148" s="3" t="n"/>
      <c r="D148" s="2" t="n"/>
      <c r="E148" s="4">
        <f>IF(A148="","",5)</f>
        <v/>
      </c>
      <c r="F148" s="2" t="n"/>
      <c r="G148" s="4" t="n"/>
      <c r="H148" s="2" t="n"/>
      <c r="I148" s="2" t="n"/>
      <c r="J148" s="2">
        <f>IF(C148="","",IF(LEN(C148)&lt;&gt;13,"Nema 13 cifara (ima "&amp;LEN(C148)&amp;")",IF(L148="","JMBG sadrži nešto što nije cifra",IF(N148="","Nepostojeći datum rođenja",IF(VALUE(MID(C148,13,1))&lt;&gt;L148,"Pogrešna kontrolna cifra - treba "&amp;L148,"✓ ispravan")))))</f>
        <v/>
      </c>
      <c r="K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L148">
        <f>IF(K148="","",IF(11-MOD(K148,11)&gt;9,0,11-MOD(K148,11)))</f>
        <v/>
      </c>
      <c r="M148">
        <f>IFERROR(IF(LEN(C148)&lt;&gt;13,"",IF(VALUE(MID(C148,5,3))&gt;=800,1000,2000)+VALUE(MID(C148,5,3))),"")</f>
        <v/>
      </c>
      <c r="N148">
        <f>IFERROR(IF(M148="","",IF(AND(DAY(DATE(M148,VALUE(MID(C148,3,2)),VALUE(MID(C148,1,2))))=VALUE(MID(C148,1,2)),MONTH(DATE(M148,VALUE(MID(C148,3,2)),VALUE(MID(C148,1,2))))=VALUE(MID(C148,3,2))),DATE(M148,VALUE(MID(C148,3,2)),VALUE(MID(C148,1,2))),"")),"")</f>
        <v/>
      </c>
    </row>
    <row r="149">
      <c r="A149" s="2" t="n"/>
      <c r="B149" s="2" t="n"/>
      <c r="C149" s="3" t="n"/>
      <c r="D149" s="2" t="n"/>
      <c r="E149" s="4">
        <f>IF(A149="","",5)</f>
        <v/>
      </c>
      <c r="F149" s="2" t="n"/>
      <c r="G149" s="4" t="n"/>
      <c r="H149" s="2" t="n"/>
      <c r="I149" s="2" t="n"/>
      <c r="J149" s="2">
        <f>IF(C149="","",IF(LEN(C149)&lt;&gt;13,"Nema 13 cifara (ima "&amp;LEN(C149)&amp;")",IF(L149="","JMBG sadrži nešto što nije cifra",IF(N149="","Nepostojeći datum rođenja",IF(VALUE(MID(C149,13,1))&lt;&gt;L149,"Pogrešna kontrolna cifra - treba "&amp;L149,"✓ ispravan")))))</f>
        <v/>
      </c>
      <c r="K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L149">
        <f>IF(K149="","",IF(11-MOD(K149,11)&gt;9,0,11-MOD(K149,11)))</f>
        <v/>
      </c>
      <c r="M149">
        <f>IFERROR(IF(LEN(C149)&lt;&gt;13,"",IF(VALUE(MID(C149,5,3))&gt;=800,1000,2000)+VALUE(MID(C149,5,3))),"")</f>
        <v/>
      </c>
      <c r="N149">
        <f>IFERROR(IF(M149="","",IF(AND(DAY(DATE(M149,VALUE(MID(C149,3,2)),VALUE(MID(C149,1,2))))=VALUE(MID(C149,1,2)),MONTH(DATE(M149,VALUE(MID(C149,3,2)),VALUE(MID(C149,1,2))))=VALUE(MID(C149,3,2))),DATE(M149,VALUE(MID(C149,3,2)),VALUE(MID(C149,1,2))),"")),"")</f>
        <v/>
      </c>
    </row>
    <row r="150">
      <c r="A150" s="2" t="n"/>
      <c r="B150" s="2" t="n"/>
      <c r="C150" s="3" t="n"/>
      <c r="D150" s="2" t="n"/>
      <c r="E150" s="4">
        <f>IF(A150="","",5)</f>
        <v/>
      </c>
      <c r="F150" s="2" t="n"/>
      <c r="G150" s="4" t="n"/>
      <c r="H150" s="2" t="n"/>
      <c r="I150" s="2" t="n"/>
      <c r="J150" s="2">
        <f>IF(C150="","",IF(LEN(C150)&lt;&gt;13,"Nema 13 cifara (ima "&amp;LEN(C150)&amp;")",IF(L150="","JMBG sadrži nešto što nije cifra",IF(N150="","Nepostojeći datum rođenja",IF(VALUE(MID(C150,13,1))&lt;&gt;L150,"Pogrešna kontrolna cifra - treba "&amp;L150,"✓ ispravan")))))</f>
        <v/>
      </c>
      <c r="K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L150">
        <f>IF(K150="","",IF(11-MOD(K150,11)&gt;9,0,11-MOD(K150,11)))</f>
        <v/>
      </c>
      <c r="M150">
        <f>IFERROR(IF(LEN(C150)&lt;&gt;13,"",IF(VALUE(MID(C150,5,3))&gt;=800,1000,2000)+VALUE(MID(C150,5,3))),"")</f>
        <v/>
      </c>
      <c r="N150">
        <f>IFERROR(IF(M150="","",IF(AND(DAY(DATE(M150,VALUE(MID(C150,3,2)),VALUE(MID(C150,1,2))))=VALUE(MID(C150,1,2)),MONTH(DATE(M150,VALUE(MID(C150,3,2)),VALUE(MID(C150,1,2))))=VALUE(MID(C150,3,2))),DATE(M150,VALUE(MID(C150,3,2)),VALUE(MID(C150,1,2))),"")),"")</f>
        <v/>
      </c>
    </row>
    <row r="151">
      <c r="A151" s="2" t="n"/>
      <c r="B151" s="2" t="n"/>
      <c r="C151" s="3" t="n"/>
      <c r="D151" s="2" t="n"/>
      <c r="E151" s="4">
        <f>IF(A151="","",5)</f>
        <v/>
      </c>
      <c r="F151" s="2" t="n"/>
      <c r="G151" s="4" t="n"/>
      <c r="H151" s="2" t="n"/>
      <c r="I151" s="2" t="n"/>
      <c r="J151" s="2">
        <f>IF(C151="","",IF(LEN(C151)&lt;&gt;13,"Nema 13 cifara (ima "&amp;LEN(C151)&amp;")",IF(L151="","JMBG sadrži nešto što nije cifra",IF(N151="","Nepostojeći datum rođenja",IF(VALUE(MID(C151,13,1))&lt;&gt;L151,"Pogrešna kontrolna cifra - treba "&amp;L151,"✓ ispravan")))))</f>
        <v/>
      </c>
      <c r="K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L151">
        <f>IF(K151="","",IF(11-MOD(K151,11)&gt;9,0,11-MOD(K151,11)))</f>
        <v/>
      </c>
      <c r="M151">
        <f>IFERROR(IF(LEN(C151)&lt;&gt;13,"",IF(VALUE(MID(C151,5,3))&gt;=800,1000,2000)+VALUE(MID(C151,5,3))),"")</f>
        <v/>
      </c>
      <c r="N151">
        <f>IFERROR(IF(M151="","",IF(AND(DAY(DATE(M151,VALUE(MID(C151,3,2)),VALUE(MID(C151,1,2))))=VALUE(MID(C151,1,2)),MONTH(DATE(M151,VALUE(MID(C151,3,2)),VALUE(MID(C151,1,2))))=VALUE(MID(C151,3,2))),DATE(M151,VALUE(MID(C151,3,2)),VALUE(MID(C151,1,2))),"")),"")</f>
        <v/>
      </c>
    </row>
    <row r="152">
      <c r="A152" s="2" t="n"/>
      <c r="B152" s="2" t="n"/>
      <c r="C152" s="3" t="n"/>
      <c r="D152" s="2" t="n"/>
      <c r="E152" s="4">
        <f>IF(A152="","",5)</f>
        <v/>
      </c>
      <c r="F152" s="2" t="n"/>
      <c r="G152" s="4" t="n"/>
      <c r="H152" s="2" t="n"/>
      <c r="I152" s="2" t="n"/>
      <c r="J152" s="2">
        <f>IF(C152="","",IF(LEN(C152)&lt;&gt;13,"Nema 13 cifara (ima "&amp;LEN(C152)&amp;")",IF(L152="","JMBG sadrži nešto što nije cifra",IF(N152="","Nepostojeći datum rođenja",IF(VALUE(MID(C152,13,1))&lt;&gt;L152,"Pogrešna kontrolna cifra - treba "&amp;L152,"✓ ispravan")))))</f>
        <v/>
      </c>
      <c r="K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L152">
        <f>IF(K152="","",IF(11-MOD(K152,11)&gt;9,0,11-MOD(K152,11)))</f>
        <v/>
      </c>
      <c r="M152">
        <f>IFERROR(IF(LEN(C152)&lt;&gt;13,"",IF(VALUE(MID(C152,5,3))&gt;=800,1000,2000)+VALUE(MID(C152,5,3))),"")</f>
        <v/>
      </c>
      <c r="N152">
        <f>IFERROR(IF(M152="","",IF(AND(DAY(DATE(M152,VALUE(MID(C152,3,2)),VALUE(MID(C152,1,2))))=VALUE(MID(C152,1,2)),MONTH(DATE(M152,VALUE(MID(C152,3,2)),VALUE(MID(C152,1,2))))=VALUE(MID(C152,3,2))),DATE(M152,VALUE(MID(C152,3,2)),VALUE(MID(C152,1,2))),"")),"")</f>
        <v/>
      </c>
    </row>
    <row r="153">
      <c r="A153" s="2" t="n"/>
      <c r="B153" s="2" t="n"/>
      <c r="C153" s="3" t="n"/>
      <c r="D153" s="2" t="n"/>
      <c r="E153" s="4">
        <f>IF(A153="","",5)</f>
        <v/>
      </c>
      <c r="F153" s="2" t="n"/>
      <c r="G153" s="4" t="n"/>
      <c r="H153" s="2" t="n"/>
      <c r="I153" s="2" t="n"/>
      <c r="J153" s="2">
        <f>IF(C153="","",IF(LEN(C153)&lt;&gt;13,"Nema 13 cifara (ima "&amp;LEN(C153)&amp;")",IF(L153="","JMBG sadrži nešto što nije cifra",IF(N153="","Nepostojeći datum rođenja",IF(VALUE(MID(C153,13,1))&lt;&gt;L153,"Pogrešna kontrolna cifra - treba "&amp;L153,"✓ ispravan")))))</f>
        <v/>
      </c>
      <c r="K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L153">
        <f>IF(K153="","",IF(11-MOD(K153,11)&gt;9,0,11-MOD(K153,11)))</f>
        <v/>
      </c>
      <c r="M153">
        <f>IFERROR(IF(LEN(C153)&lt;&gt;13,"",IF(VALUE(MID(C153,5,3))&gt;=800,1000,2000)+VALUE(MID(C153,5,3))),"")</f>
        <v/>
      </c>
      <c r="N153">
        <f>IFERROR(IF(M153="","",IF(AND(DAY(DATE(M153,VALUE(MID(C153,3,2)),VALUE(MID(C153,1,2))))=VALUE(MID(C153,1,2)),MONTH(DATE(M153,VALUE(MID(C153,3,2)),VALUE(MID(C153,1,2))))=VALUE(MID(C153,3,2))),DATE(M153,VALUE(MID(C153,3,2)),VALUE(MID(C153,1,2))),"")),"")</f>
        <v/>
      </c>
    </row>
    <row r="154">
      <c r="A154" s="2" t="n"/>
      <c r="B154" s="2" t="n"/>
      <c r="C154" s="3" t="n"/>
      <c r="D154" s="2" t="n"/>
      <c r="E154" s="4">
        <f>IF(A154="","",5)</f>
        <v/>
      </c>
      <c r="F154" s="2" t="n"/>
      <c r="G154" s="4" t="n"/>
      <c r="H154" s="2" t="n"/>
      <c r="I154" s="2" t="n"/>
      <c r="J154" s="2">
        <f>IF(C154="","",IF(LEN(C154)&lt;&gt;13,"Nema 13 cifara (ima "&amp;LEN(C154)&amp;")",IF(L154="","JMBG sadrži nešto što nije cifra",IF(N154="","Nepostojeći datum rođenja",IF(VALUE(MID(C154,13,1))&lt;&gt;L154,"Pogrešna kontrolna cifra - treba "&amp;L154,"✓ ispravan")))))</f>
        <v/>
      </c>
      <c r="K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L154">
        <f>IF(K154="","",IF(11-MOD(K154,11)&gt;9,0,11-MOD(K154,11)))</f>
        <v/>
      </c>
      <c r="M154">
        <f>IFERROR(IF(LEN(C154)&lt;&gt;13,"",IF(VALUE(MID(C154,5,3))&gt;=800,1000,2000)+VALUE(MID(C154,5,3))),"")</f>
        <v/>
      </c>
      <c r="N154">
        <f>IFERROR(IF(M154="","",IF(AND(DAY(DATE(M154,VALUE(MID(C154,3,2)),VALUE(MID(C154,1,2))))=VALUE(MID(C154,1,2)),MONTH(DATE(M154,VALUE(MID(C154,3,2)),VALUE(MID(C154,1,2))))=VALUE(MID(C154,3,2))),DATE(M154,VALUE(MID(C154,3,2)),VALUE(MID(C154,1,2))),"")),"")</f>
        <v/>
      </c>
    </row>
    <row r="155">
      <c r="A155" s="2" t="n"/>
      <c r="B155" s="2" t="n"/>
      <c r="C155" s="3" t="n"/>
      <c r="D155" s="2" t="n"/>
      <c r="E155" s="4">
        <f>IF(A155="","",5)</f>
        <v/>
      </c>
      <c r="F155" s="2" t="n"/>
      <c r="G155" s="4" t="n"/>
      <c r="H155" s="2" t="n"/>
      <c r="I155" s="2" t="n"/>
      <c r="J155" s="2">
        <f>IF(C155="","",IF(LEN(C155)&lt;&gt;13,"Nema 13 cifara (ima "&amp;LEN(C155)&amp;")",IF(L155="","JMBG sadrži nešto što nije cifra",IF(N155="","Nepostojeći datum rođenja",IF(VALUE(MID(C155,13,1))&lt;&gt;L155,"Pogrešna kontrolna cifra - treba "&amp;L155,"✓ ispravan")))))</f>
        <v/>
      </c>
      <c r="K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L155">
        <f>IF(K155="","",IF(11-MOD(K155,11)&gt;9,0,11-MOD(K155,11)))</f>
        <v/>
      </c>
      <c r="M155">
        <f>IFERROR(IF(LEN(C155)&lt;&gt;13,"",IF(VALUE(MID(C155,5,3))&gt;=800,1000,2000)+VALUE(MID(C155,5,3))),"")</f>
        <v/>
      </c>
      <c r="N155">
        <f>IFERROR(IF(M155="","",IF(AND(DAY(DATE(M155,VALUE(MID(C155,3,2)),VALUE(MID(C155,1,2))))=VALUE(MID(C155,1,2)),MONTH(DATE(M155,VALUE(MID(C155,3,2)),VALUE(MID(C155,1,2))))=VALUE(MID(C155,3,2))),DATE(M155,VALUE(MID(C155,3,2)),VALUE(MID(C155,1,2))),"")),"")</f>
        <v/>
      </c>
    </row>
    <row r="156">
      <c r="A156" s="2" t="n"/>
      <c r="B156" s="2" t="n"/>
      <c r="C156" s="3" t="n"/>
      <c r="D156" s="2" t="n"/>
      <c r="E156" s="4">
        <f>IF(A156="","",5)</f>
        <v/>
      </c>
      <c r="F156" s="2" t="n"/>
      <c r="G156" s="4" t="n"/>
      <c r="H156" s="2" t="n"/>
      <c r="I156" s="2" t="n"/>
      <c r="J156" s="2">
        <f>IF(C156="","",IF(LEN(C156)&lt;&gt;13,"Nema 13 cifara (ima "&amp;LEN(C156)&amp;")",IF(L156="","JMBG sadrži nešto što nije cifra",IF(N156="","Nepostojeći datum rođenja",IF(VALUE(MID(C156,13,1))&lt;&gt;L156,"Pogrešna kontrolna cifra - treba "&amp;L156,"✓ ispravan")))))</f>
        <v/>
      </c>
      <c r="K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L156">
        <f>IF(K156="","",IF(11-MOD(K156,11)&gt;9,0,11-MOD(K156,11)))</f>
        <v/>
      </c>
      <c r="M156">
        <f>IFERROR(IF(LEN(C156)&lt;&gt;13,"",IF(VALUE(MID(C156,5,3))&gt;=800,1000,2000)+VALUE(MID(C156,5,3))),"")</f>
        <v/>
      </c>
      <c r="N156">
        <f>IFERROR(IF(M156="","",IF(AND(DAY(DATE(M156,VALUE(MID(C156,3,2)),VALUE(MID(C156,1,2))))=VALUE(MID(C156,1,2)),MONTH(DATE(M156,VALUE(MID(C156,3,2)),VALUE(MID(C156,1,2))))=VALUE(MID(C156,3,2))),DATE(M156,VALUE(MID(C156,3,2)),VALUE(MID(C156,1,2))),"")),"")</f>
        <v/>
      </c>
    </row>
    <row r="157">
      <c r="A157" s="2" t="n"/>
      <c r="B157" s="2" t="n"/>
      <c r="C157" s="3" t="n"/>
      <c r="D157" s="2" t="n"/>
      <c r="E157" s="4">
        <f>IF(A157="","",5)</f>
        <v/>
      </c>
      <c r="F157" s="2" t="n"/>
      <c r="G157" s="4" t="n"/>
      <c r="H157" s="2" t="n"/>
      <c r="I157" s="2" t="n"/>
      <c r="J157" s="2">
        <f>IF(C157="","",IF(LEN(C157)&lt;&gt;13,"Nema 13 cifara (ima "&amp;LEN(C157)&amp;")",IF(L157="","JMBG sadrži nešto što nije cifra",IF(N157="","Nepostojeći datum rođenja",IF(VALUE(MID(C157,13,1))&lt;&gt;L157,"Pogrešna kontrolna cifra - treba "&amp;L157,"✓ ispravan")))))</f>
        <v/>
      </c>
      <c r="K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L157">
        <f>IF(K157="","",IF(11-MOD(K157,11)&gt;9,0,11-MOD(K157,11)))</f>
        <v/>
      </c>
      <c r="M157">
        <f>IFERROR(IF(LEN(C157)&lt;&gt;13,"",IF(VALUE(MID(C157,5,3))&gt;=800,1000,2000)+VALUE(MID(C157,5,3))),"")</f>
        <v/>
      </c>
      <c r="N157">
        <f>IFERROR(IF(M157="","",IF(AND(DAY(DATE(M157,VALUE(MID(C157,3,2)),VALUE(MID(C157,1,2))))=VALUE(MID(C157,1,2)),MONTH(DATE(M157,VALUE(MID(C157,3,2)),VALUE(MID(C157,1,2))))=VALUE(MID(C157,3,2))),DATE(M157,VALUE(MID(C157,3,2)),VALUE(MID(C157,1,2))),"")),"")</f>
        <v/>
      </c>
    </row>
    <row r="158">
      <c r="A158" s="2" t="n"/>
      <c r="B158" s="2" t="n"/>
      <c r="C158" s="3" t="n"/>
      <c r="D158" s="2" t="n"/>
      <c r="E158" s="4">
        <f>IF(A158="","",5)</f>
        <v/>
      </c>
      <c r="F158" s="2" t="n"/>
      <c r="G158" s="4" t="n"/>
      <c r="H158" s="2" t="n"/>
      <c r="I158" s="2" t="n"/>
      <c r="J158" s="2">
        <f>IF(C158="","",IF(LEN(C158)&lt;&gt;13,"Nema 13 cifara (ima "&amp;LEN(C158)&amp;")",IF(L158="","JMBG sadrži nešto što nije cifra",IF(N158="","Nepostojeći datum rođenja",IF(VALUE(MID(C158,13,1))&lt;&gt;L158,"Pogrešna kontrolna cifra - treba "&amp;L158,"✓ ispravan")))))</f>
        <v/>
      </c>
      <c r="K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L158">
        <f>IF(K158="","",IF(11-MOD(K158,11)&gt;9,0,11-MOD(K158,11)))</f>
        <v/>
      </c>
      <c r="M158">
        <f>IFERROR(IF(LEN(C158)&lt;&gt;13,"",IF(VALUE(MID(C158,5,3))&gt;=800,1000,2000)+VALUE(MID(C158,5,3))),"")</f>
        <v/>
      </c>
      <c r="N158">
        <f>IFERROR(IF(M158="","",IF(AND(DAY(DATE(M158,VALUE(MID(C158,3,2)),VALUE(MID(C158,1,2))))=VALUE(MID(C158,1,2)),MONTH(DATE(M158,VALUE(MID(C158,3,2)),VALUE(MID(C158,1,2))))=VALUE(MID(C158,3,2))),DATE(M158,VALUE(MID(C158,3,2)),VALUE(MID(C158,1,2))),"")),"")</f>
        <v/>
      </c>
    </row>
    <row r="159">
      <c r="A159" s="2" t="n"/>
      <c r="B159" s="2" t="n"/>
      <c r="C159" s="3" t="n"/>
      <c r="D159" s="2" t="n"/>
      <c r="E159" s="4">
        <f>IF(A159="","",5)</f>
        <v/>
      </c>
      <c r="F159" s="2" t="n"/>
      <c r="G159" s="4" t="n"/>
      <c r="H159" s="2" t="n"/>
      <c r="I159" s="2" t="n"/>
      <c r="J159" s="2">
        <f>IF(C159="","",IF(LEN(C159)&lt;&gt;13,"Nema 13 cifara (ima "&amp;LEN(C159)&amp;")",IF(L159="","JMBG sadrži nešto što nije cifra",IF(N159="","Nepostojeći datum rođenja",IF(VALUE(MID(C159,13,1))&lt;&gt;L159,"Pogrešna kontrolna cifra - treba "&amp;L159,"✓ ispravan")))))</f>
        <v/>
      </c>
      <c r="K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L159">
        <f>IF(K159="","",IF(11-MOD(K159,11)&gt;9,0,11-MOD(K159,11)))</f>
        <v/>
      </c>
      <c r="M159">
        <f>IFERROR(IF(LEN(C159)&lt;&gt;13,"",IF(VALUE(MID(C159,5,3))&gt;=800,1000,2000)+VALUE(MID(C159,5,3))),"")</f>
        <v/>
      </c>
      <c r="N159">
        <f>IFERROR(IF(M159="","",IF(AND(DAY(DATE(M159,VALUE(MID(C159,3,2)),VALUE(MID(C159,1,2))))=VALUE(MID(C159,1,2)),MONTH(DATE(M159,VALUE(MID(C159,3,2)),VALUE(MID(C159,1,2))))=VALUE(MID(C159,3,2))),DATE(M159,VALUE(MID(C159,3,2)),VALUE(MID(C159,1,2))),"")),"")</f>
        <v/>
      </c>
    </row>
    <row r="160">
      <c r="A160" s="2" t="n"/>
      <c r="B160" s="2" t="n"/>
      <c r="C160" s="3" t="n"/>
      <c r="D160" s="2" t="n"/>
      <c r="E160" s="4">
        <f>IF(A160="","",5)</f>
        <v/>
      </c>
      <c r="F160" s="2" t="n"/>
      <c r="G160" s="4" t="n"/>
      <c r="H160" s="2" t="n"/>
      <c r="I160" s="2" t="n"/>
      <c r="J160" s="2">
        <f>IF(C160="","",IF(LEN(C160)&lt;&gt;13,"Nema 13 cifara (ima "&amp;LEN(C160)&amp;")",IF(L160="","JMBG sadrži nešto što nije cifra",IF(N160="","Nepostojeći datum rođenja",IF(VALUE(MID(C160,13,1))&lt;&gt;L160,"Pogrešna kontrolna cifra - treba "&amp;L160,"✓ ispravan")))))</f>
        <v/>
      </c>
      <c r="K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L160">
        <f>IF(K160="","",IF(11-MOD(K160,11)&gt;9,0,11-MOD(K160,11)))</f>
        <v/>
      </c>
      <c r="M160">
        <f>IFERROR(IF(LEN(C160)&lt;&gt;13,"",IF(VALUE(MID(C160,5,3))&gt;=800,1000,2000)+VALUE(MID(C160,5,3))),"")</f>
        <v/>
      </c>
      <c r="N160">
        <f>IFERROR(IF(M160="","",IF(AND(DAY(DATE(M160,VALUE(MID(C160,3,2)),VALUE(MID(C160,1,2))))=VALUE(MID(C160,1,2)),MONTH(DATE(M160,VALUE(MID(C160,3,2)),VALUE(MID(C160,1,2))))=VALUE(MID(C160,3,2))),DATE(M160,VALUE(MID(C160,3,2)),VALUE(MID(C160,1,2))),"")),"")</f>
        <v/>
      </c>
    </row>
    <row r="161">
      <c r="A161" s="2" t="n"/>
      <c r="B161" s="2" t="n"/>
      <c r="C161" s="3" t="n"/>
      <c r="D161" s="2" t="n"/>
      <c r="E161" s="4">
        <f>IF(A161="","",5)</f>
        <v/>
      </c>
      <c r="F161" s="2" t="n"/>
      <c r="G161" s="4" t="n"/>
      <c r="H161" s="2" t="n"/>
      <c r="I161" s="2" t="n"/>
      <c r="J161" s="2">
        <f>IF(C161="","",IF(LEN(C161)&lt;&gt;13,"Nema 13 cifara (ima "&amp;LEN(C161)&amp;")",IF(L161="","JMBG sadrži nešto što nije cifra",IF(N161="","Nepostojeći datum rođenja",IF(VALUE(MID(C161,13,1))&lt;&gt;L161,"Pogrešna kontrolna cifra - treba "&amp;L161,"✓ ispravan")))))</f>
        <v/>
      </c>
      <c r="K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L161">
        <f>IF(K161="","",IF(11-MOD(K161,11)&gt;9,0,11-MOD(K161,11)))</f>
        <v/>
      </c>
      <c r="M161">
        <f>IFERROR(IF(LEN(C161)&lt;&gt;13,"",IF(VALUE(MID(C161,5,3))&gt;=800,1000,2000)+VALUE(MID(C161,5,3))),"")</f>
        <v/>
      </c>
      <c r="N161">
        <f>IFERROR(IF(M161="","",IF(AND(DAY(DATE(M161,VALUE(MID(C161,3,2)),VALUE(MID(C161,1,2))))=VALUE(MID(C161,1,2)),MONTH(DATE(M161,VALUE(MID(C161,3,2)),VALUE(MID(C161,1,2))))=VALUE(MID(C161,3,2))),DATE(M161,VALUE(MID(C161,3,2)),VALUE(MID(C161,1,2))),"")),"")</f>
        <v/>
      </c>
    </row>
    <row r="162">
      <c r="A162" s="2" t="n"/>
      <c r="B162" s="2" t="n"/>
      <c r="C162" s="3" t="n"/>
      <c r="D162" s="2" t="n"/>
      <c r="E162" s="4">
        <f>IF(A162="","",5)</f>
        <v/>
      </c>
      <c r="F162" s="2" t="n"/>
      <c r="G162" s="4" t="n"/>
      <c r="H162" s="2" t="n"/>
      <c r="I162" s="2" t="n"/>
      <c r="J162" s="2">
        <f>IF(C162="","",IF(LEN(C162)&lt;&gt;13,"Nema 13 cifara (ima "&amp;LEN(C162)&amp;")",IF(L162="","JMBG sadrži nešto što nije cifra",IF(N162="","Nepostojeći datum rođenja",IF(VALUE(MID(C162,13,1))&lt;&gt;L162,"Pogrešna kontrolna cifra - treba "&amp;L162,"✓ ispravan")))))</f>
        <v/>
      </c>
      <c r="K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L162">
        <f>IF(K162="","",IF(11-MOD(K162,11)&gt;9,0,11-MOD(K162,11)))</f>
        <v/>
      </c>
      <c r="M162">
        <f>IFERROR(IF(LEN(C162)&lt;&gt;13,"",IF(VALUE(MID(C162,5,3))&gt;=800,1000,2000)+VALUE(MID(C162,5,3))),"")</f>
        <v/>
      </c>
      <c r="N162">
        <f>IFERROR(IF(M162="","",IF(AND(DAY(DATE(M162,VALUE(MID(C162,3,2)),VALUE(MID(C162,1,2))))=VALUE(MID(C162,1,2)),MONTH(DATE(M162,VALUE(MID(C162,3,2)),VALUE(MID(C162,1,2))))=VALUE(MID(C162,3,2))),DATE(M162,VALUE(MID(C162,3,2)),VALUE(MID(C162,1,2))),"")),"")</f>
        <v/>
      </c>
    </row>
    <row r="163">
      <c r="A163" s="2" t="n"/>
      <c r="B163" s="2" t="n"/>
      <c r="C163" s="3" t="n"/>
      <c r="D163" s="2" t="n"/>
      <c r="E163" s="4">
        <f>IF(A163="","",5)</f>
        <v/>
      </c>
      <c r="F163" s="2" t="n"/>
      <c r="G163" s="4" t="n"/>
      <c r="H163" s="2" t="n"/>
      <c r="I163" s="2" t="n"/>
      <c r="J163" s="2">
        <f>IF(C163="","",IF(LEN(C163)&lt;&gt;13,"Nema 13 cifara (ima "&amp;LEN(C163)&amp;")",IF(L163="","JMBG sadrži nešto što nije cifra",IF(N163="","Nepostojeći datum rođenja",IF(VALUE(MID(C163,13,1))&lt;&gt;L163,"Pogrešna kontrolna cifra - treba "&amp;L163,"✓ ispravan")))))</f>
        <v/>
      </c>
      <c r="K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L163">
        <f>IF(K163="","",IF(11-MOD(K163,11)&gt;9,0,11-MOD(K163,11)))</f>
        <v/>
      </c>
      <c r="M163">
        <f>IFERROR(IF(LEN(C163)&lt;&gt;13,"",IF(VALUE(MID(C163,5,3))&gt;=800,1000,2000)+VALUE(MID(C163,5,3))),"")</f>
        <v/>
      </c>
      <c r="N163">
        <f>IFERROR(IF(M163="","",IF(AND(DAY(DATE(M163,VALUE(MID(C163,3,2)),VALUE(MID(C163,1,2))))=VALUE(MID(C163,1,2)),MONTH(DATE(M163,VALUE(MID(C163,3,2)),VALUE(MID(C163,1,2))))=VALUE(MID(C163,3,2))),DATE(M163,VALUE(MID(C163,3,2)),VALUE(MID(C163,1,2))),"")),"")</f>
        <v/>
      </c>
    </row>
    <row r="164">
      <c r="A164" s="2" t="n"/>
      <c r="B164" s="2" t="n"/>
      <c r="C164" s="3" t="n"/>
      <c r="D164" s="2" t="n"/>
      <c r="E164" s="4">
        <f>IF(A164="","",5)</f>
        <v/>
      </c>
      <c r="F164" s="2" t="n"/>
      <c r="G164" s="4" t="n"/>
      <c r="H164" s="2" t="n"/>
      <c r="I164" s="2" t="n"/>
      <c r="J164" s="2">
        <f>IF(C164="","",IF(LEN(C164)&lt;&gt;13,"Nema 13 cifara (ima "&amp;LEN(C164)&amp;")",IF(L164="","JMBG sadrži nešto što nije cifra",IF(N164="","Nepostojeći datum rođenja",IF(VALUE(MID(C164,13,1))&lt;&gt;L164,"Pogrešna kontrolna cifra - treba "&amp;L164,"✓ ispravan")))))</f>
        <v/>
      </c>
      <c r="K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L164">
        <f>IF(K164="","",IF(11-MOD(K164,11)&gt;9,0,11-MOD(K164,11)))</f>
        <v/>
      </c>
      <c r="M164">
        <f>IFERROR(IF(LEN(C164)&lt;&gt;13,"",IF(VALUE(MID(C164,5,3))&gt;=800,1000,2000)+VALUE(MID(C164,5,3))),"")</f>
        <v/>
      </c>
      <c r="N164">
        <f>IFERROR(IF(M164="","",IF(AND(DAY(DATE(M164,VALUE(MID(C164,3,2)),VALUE(MID(C164,1,2))))=VALUE(MID(C164,1,2)),MONTH(DATE(M164,VALUE(MID(C164,3,2)),VALUE(MID(C164,1,2))))=VALUE(MID(C164,3,2))),DATE(M164,VALUE(MID(C164,3,2)),VALUE(MID(C164,1,2))),"")),"")</f>
        <v/>
      </c>
    </row>
    <row r="165">
      <c r="A165" s="2" t="n"/>
      <c r="B165" s="2" t="n"/>
      <c r="C165" s="3" t="n"/>
      <c r="D165" s="2" t="n"/>
      <c r="E165" s="4">
        <f>IF(A165="","",5)</f>
        <v/>
      </c>
      <c r="F165" s="2" t="n"/>
      <c r="G165" s="4" t="n"/>
      <c r="H165" s="2" t="n"/>
      <c r="I165" s="2" t="n"/>
      <c r="J165" s="2">
        <f>IF(C165="","",IF(LEN(C165)&lt;&gt;13,"Nema 13 cifara (ima "&amp;LEN(C165)&amp;")",IF(L165="","JMBG sadrži nešto što nije cifra",IF(N165="","Nepostojeći datum rođenja",IF(VALUE(MID(C165,13,1))&lt;&gt;L165,"Pogrešna kontrolna cifra - treba "&amp;L165,"✓ ispravan")))))</f>
        <v/>
      </c>
      <c r="K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L165">
        <f>IF(K165="","",IF(11-MOD(K165,11)&gt;9,0,11-MOD(K165,11)))</f>
        <v/>
      </c>
      <c r="M165">
        <f>IFERROR(IF(LEN(C165)&lt;&gt;13,"",IF(VALUE(MID(C165,5,3))&gt;=800,1000,2000)+VALUE(MID(C165,5,3))),"")</f>
        <v/>
      </c>
      <c r="N165">
        <f>IFERROR(IF(M165="","",IF(AND(DAY(DATE(M165,VALUE(MID(C165,3,2)),VALUE(MID(C165,1,2))))=VALUE(MID(C165,1,2)),MONTH(DATE(M165,VALUE(MID(C165,3,2)),VALUE(MID(C165,1,2))))=VALUE(MID(C165,3,2))),DATE(M165,VALUE(MID(C165,3,2)),VALUE(MID(C165,1,2))),"")),"")</f>
        <v/>
      </c>
    </row>
    <row r="166">
      <c r="A166" s="2" t="n"/>
      <c r="B166" s="2" t="n"/>
      <c r="C166" s="3" t="n"/>
      <c r="D166" s="2" t="n"/>
      <c r="E166" s="4">
        <f>IF(A166="","",5)</f>
        <v/>
      </c>
      <c r="F166" s="2" t="n"/>
      <c r="G166" s="4" t="n"/>
      <c r="H166" s="2" t="n"/>
      <c r="I166" s="2" t="n"/>
      <c r="J166" s="2">
        <f>IF(C166="","",IF(LEN(C166)&lt;&gt;13,"Nema 13 cifara (ima "&amp;LEN(C166)&amp;")",IF(L166="","JMBG sadrži nešto što nije cifra",IF(N166="","Nepostojeći datum rođenja",IF(VALUE(MID(C166,13,1))&lt;&gt;L166,"Pogrešna kontrolna cifra - treba "&amp;L166,"✓ ispravan")))))</f>
        <v/>
      </c>
      <c r="K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L166">
        <f>IF(K166="","",IF(11-MOD(K166,11)&gt;9,0,11-MOD(K166,11)))</f>
        <v/>
      </c>
      <c r="M166">
        <f>IFERROR(IF(LEN(C166)&lt;&gt;13,"",IF(VALUE(MID(C166,5,3))&gt;=800,1000,2000)+VALUE(MID(C166,5,3))),"")</f>
        <v/>
      </c>
      <c r="N166">
        <f>IFERROR(IF(M166="","",IF(AND(DAY(DATE(M166,VALUE(MID(C166,3,2)),VALUE(MID(C166,1,2))))=VALUE(MID(C166,1,2)),MONTH(DATE(M166,VALUE(MID(C166,3,2)),VALUE(MID(C166,1,2))))=VALUE(MID(C166,3,2))),DATE(M166,VALUE(MID(C166,3,2)),VALUE(MID(C166,1,2))),"")),"")</f>
        <v/>
      </c>
    </row>
    <row r="167">
      <c r="A167" s="2" t="n"/>
      <c r="B167" s="2" t="n"/>
      <c r="C167" s="3" t="n"/>
      <c r="D167" s="2" t="n"/>
      <c r="E167" s="4">
        <f>IF(A167="","",5)</f>
        <v/>
      </c>
      <c r="F167" s="2" t="n"/>
      <c r="G167" s="4" t="n"/>
      <c r="H167" s="2" t="n"/>
      <c r="I167" s="2" t="n"/>
      <c r="J167" s="2">
        <f>IF(C167="","",IF(LEN(C167)&lt;&gt;13,"Nema 13 cifara (ima "&amp;LEN(C167)&amp;")",IF(L167="","JMBG sadrži nešto što nije cifra",IF(N167="","Nepostojeći datum rođenja",IF(VALUE(MID(C167,13,1))&lt;&gt;L167,"Pogrešna kontrolna cifra - treba "&amp;L167,"✓ ispravan")))))</f>
        <v/>
      </c>
      <c r="K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L167">
        <f>IF(K167="","",IF(11-MOD(K167,11)&gt;9,0,11-MOD(K167,11)))</f>
        <v/>
      </c>
      <c r="M167">
        <f>IFERROR(IF(LEN(C167)&lt;&gt;13,"",IF(VALUE(MID(C167,5,3))&gt;=800,1000,2000)+VALUE(MID(C167,5,3))),"")</f>
        <v/>
      </c>
      <c r="N167">
        <f>IFERROR(IF(M167="","",IF(AND(DAY(DATE(M167,VALUE(MID(C167,3,2)),VALUE(MID(C167,1,2))))=VALUE(MID(C167,1,2)),MONTH(DATE(M167,VALUE(MID(C167,3,2)),VALUE(MID(C167,1,2))))=VALUE(MID(C167,3,2))),DATE(M167,VALUE(MID(C167,3,2)),VALUE(MID(C167,1,2))),"")),"")</f>
        <v/>
      </c>
    </row>
    <row r="168">
      <c r="A168" s="2" t="n"/>
      <c r="B168" s="2" t="n"/>
      <c r="C168" s="3" t="n"/>
      <c r="D168" s="2" t="n"/>
      <c r="E168" s="4">
        <f>IF(A168="","",5)</f>
        <v/>
      </c>
      <c r="F168" s="2" t="n"/>
      <c r="G168" s="4" t="n"/>
      <c r="H168" s="2" t="n"/>
      <c r="I168" s="2" t="n"/>
      <c r="J168" s="2">
        <f>IF(C168="","",IF(LEN(C168)&lt;&gt;13,"Nema 13 cifara (ima "&amp;LEN(C168)&amp;")",IF(L168="","JMBG sadrži nešto što nije cifra",IF(N168="","Nepostojeći datum rođenja",IF(VALUE(MID(C168,13,1))&lt;&gt;L168,"Pogrešna kontrolna cifra - treba "&amp;L168,"✓ ispravan")))))</f>
        <v/>
      </c>
      <c r="K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L168">
        <f>IF(K168="","",IF(11-MOD(K168,11)&gt;9,0,11-MOD(K168,11)))</f>
        <v/>
      </c>
      <c r="M168">
        <f>IFERROR(IF(LEN(C168)&lt;&gt;13,"",IF(VALUE(MID(C168,5,3))&gt;=800,1000,2000)+VALUE(MID(C168,5,3))),"")</f>
        <v/>
      </c>
      <c r="N168">
        <f>IFERROR(IF(M168="","",IF(AND(DAY(DATE(M168,VALUE(MID(C168,3,2)),VALUE(MID(C168,1,2))))=VALUE(MID(C168,1,2)),MONTH(DATE(M168,VALUE(MID(C168,3,2)),VALUE(MID(C168,1,2))))=VALUE(MID(C168,3,2))),DATE(M168,VALUE(MID(C168,3,2)),VALUE(MID(C168,1,2))),"")),"")</f>
        <v/>
      </c>
    </row>
    <row r="169">
      <c r="A169" s="2" t="n"/>
      <c r="B169" s="2" t="n"/>
      <c r="C169" s="3" t="n"/>
      <c r="D169" s="2" t="n"/>
      <c r="E169" s="4">
        <f>IF(A169="","",5)</f>
        <v/>
      </c>
      <c r="F169" s="2" t="n"/>
      <c r="G169" s="4" t="n"/>
      <c r="H169" s="2" t="n"/>
      <c r="I169" s="2" t="n"/>
      <c r="J169" s="2">
        <f>IF(C169="","",IF(LEN(C169)&lt;&gt;13,"Nema 13 cifara (ima "&amp;LEN(C169)&amp;")",IF(L169="","JMBG sadrži nešto što nije cifra",IF(N169="","Nepostojeći datum rođenja",IF(VALUE(MID(C169,13,1))&lt;&gt;L169,"Pogrešna kontrolna cifra - treba "&amp;L169,"✓ ispravan")))))</f>
        <v/>
      </c>
      <c r="K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L169">
        <f>IF(K169="","",IF(11-MOD(K169,11)&gt;9,0,11-MOD(K169,11)))</f>
        <v/>
      </c>
      <c r="M169">
        <f>IFERROR(IF(LEN(C169)&lt;&gt;13,"",IF(VALUE(MID(C169,5,3))&gt;=800,1000,2000)+VALUE(MID(C169,5,3))),"")</f>
        <v/>
      </c>
      <c r="N169">
        <f>IFERROR(IF(M169="","",IF(AND(DAY(DATE(M169,VALUE(MID(C169,3,2)),VALUE(MID(C169,1,2))))=VALUE(MID(C169,1,2)),MONTH(DATE(M169,VALUE(MID(C169,3,2)),VALUE(MID(C169,1,2))))=VALUE(MID(C169,3,2))),DATE(M169,VALUE(MID(C169,3,2)),VALUE(MID(C169,1,2))),"")),"")</f>
        <v/>
      </c>
    </row>
    <row r="170">
      <c r="A170" s="2" t="n"/>
      <c r="B170" s="2" t="n"/>
      <c r="C170" s="3" t="n"/>
      <c r="D170" s="2" t="n"/>
      <c r="E170" s="4">
        <f>IF(A170="","",5)</f>
        <v/>
      </c>
      <c r="F170" s="2" t="n"/>
      <c r="G170" s="4" t="n"/>
      <c r="H170" s="2" t="n"/>
      <c r="I170" s="2" t="n"/>
      <c r="J170" s="2">
        <f>IF(C170="","",IF(LEN(C170)&lt;&gt;13,"Nema 13 cifara (ima "&amp;LEN(C170)&amp;")",IF(L170="","JMBG sadrži nešto što nije cifra",IF(N170="","Nepostojeći datum rođenja",IF(VALUE(MID(C170,13,1))&lt;&gt;L170,"Pogrešna kontrolna cifra - treba "&amp;L170,"✓ ispravan")))))</f>
        <v/>
      </c>
      <c r="K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L170">
        <f>IF(K170="","",IF(11-MOD(K170,11)&gt;9,0,11-MOD(K170,11)))</f>
        <v/>
      </c>
      <c r="M170">
        <f>IFERROR(IF(LEN(C170)&lt;&gt;13,"",IF(VALUE(MID(C170,5,3))&gt;=800,1000,2000)+VALUE(MID(C170,5,3))),"")</f>
        <v/>
      </c>
      <c r="N170">
        <f>IFERROR(IF(M170="","",IF(AND(DAY(DATE(M170,VALUE(MID(C170,3,2)),VALUE(MID(C170,1,2))))=VALUE(MID(C170,1,2)),MONTH(DATE(M170,VALUE(MID(C170,3,2)),VALUE(MID(C170,1,2))))=VALUE(MID(C170,3,2))),DATE(M170,VALUE(MID(C170,3,2)),VALUE(MID(C170,1,2))),"")),"")</f>
        <v/>
      </c>
    </row>
    <row r="171">
      <c r="A171" s="2" t="n"/>
      <c r="B171" s="2" t="n"/>
      <c r="C171" s="3" t="n"/>
      <c r="D171" s="2" t="n"/>
      <c r="E171" s="4">
        <f>IF(A171="","",5)</f>
        <v/>
      </c>
      <c r="F171" s="2" t="n"/>
      <c r="G171" s="4" t="n"/>
      <c r="H171" s="2" t="n"/>
      <c r="I171" s="2" t="n"/>
      <c r="J171" s="2">
        <f>IF(C171="","",IF(LEN(C171)&lt;&gt;13,"Nema 13 cifara (ima "&amp;LEN(C171)&amp;")",IF(L171="","JMBG sadrži nešto što nije cifra",IF(N171="","Nepostojeći datum rođenja",IF(VALUE(MID(C171,13,1))&lt;&gt;L171,"Pogrešna kontrolna cifra - treba "&amp;L171,"✓ ispravan")))))</f>
        <v/>
      </c>
      <c r="K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L171">
        <f>IF(K171="","",IF(11-MOD(K171,11)&gt;9,0,11-MOD(K171,11)))</f>
        <v/>
      </c>
      <c r="M171">
        <f>IFERROR(IF(LEN(C171)&lt;&gt;13,"",IF(VALUE(MID(C171,5,3))&gt;=800,1000,2000)+VALUE(MID(C171,5,3))),"")</f>
        <v/>
      </c>
      <c r="N171">
        <f>IFERROR(IF(M171="","",IF(AND(DAY(DATE(M171,VALUE(MID(C171,3,2)),VALUE(MID(C171,1,2))))=VALUE(MID(C171,1,2)),MONTH(DATE(M171,VALUE(MID(C171,3,2)),VALUE(MID(C171,1,2))))=VALUE(MID(C171,3,2))),DATE(M171,VALUE(MID(C171,3,2)),VALUE(MID(C171,1,2))),"")),"")</f>
        <v/>
      </c>
    </row>
    <row r="172">
      <c r="A172" s="2" t="n"/>
      <c r="B172" s="2" t="n"/>
      <c r="C172" s="3" t="n"/>
      <c r="D172" s="2" t="n"/>
      <c r="E172" s="4">
        <f>IF(A172="","",5)</f>
        <v/>
      </c>
      <c r="F172" s="2" t="n"/>
      <c r="G172" s="4" t="n"/>
      <c r="H172" s="2" t="n"/>
      <c r="I172" s="2" t="n"/>
      <c r="J172" s="2">
        <f>IF(C172="","",IF(LEN(C172)&lt;&gt;13,"Nema 13 cifara (ima "&amp;LEN(C172)&amp;")",IF(L172="","JMBG sadrži nešto što nije cifra",IF(N172="","Nepostojeći datum rođenja",IF(VALUE(MID(C172,13,1))&lt;&gt;L172,"Pogrešna kontrolna cifra - treba "&amp;L172,"✓ ispravan")))))</f>
        <v/>
      </c>
      <c r="K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L172">
        <f>IF(K172="","",IF(11-MOD(K172,11)&gt;9,0,11-MOD(K172,11)))</f>
        <v/>
      </c>
      <c r="M172">
        <f>IFERROR(IF(LEN(C172)&lt;&gt;13,"",IF(VALUE(MID(C172,5,3))&gt;=800,1000,2000)+VALUE(MID(C172,5,3))),"")</f>
        <v/>
      </c>
      <c r="N172">
        <f>IFERROR(IF(M172="","",IF(AND(DAY(DATE(M172,VALUE(MID(C172,3,2)),VALUE(MID(C172,1,2))))=VALUE(MID(C172,1,2)),MONTH(DATE(M172,VALUE(MID(C172,3,2)),VALUE(MID(C172,1,2))))=VALUE(MID(C172,3,2))),DATE(M172,VALUE(MID(C172,3,2)),VALUE(MID(C172,1,2))),"")),"")</f>
        <v/>
      </c>
    </row>
    <row r="173">
      <c r="A173" s="2" t="n"/>
      <c r="B173" s="2" t="n"/>
      <c r="C173" s="3" t="n"/>
      <c r="D173" s="2" t="n"/>
      <c r="E173" s="4">
        <f>IF(A173="","",5)</f>
        <v/>
      </c>
      <c r="F173" s="2" t="n"/>
      <c r="G173" s="4" t="n"/>
      <c r="H173" s="2" t="n"/>
      <c r="I173" s="2" t="n"/>
      <c r="J173" s="2">
        <f>IF(C173="","",IF(LEN(C173)&lt;&gt;13,"Nema 13 cifara (ima "&amp;LEN(C173)&amp;")",IF(L173="","JMBG sadrži nešto što nije cifra",IF(N173="","Nepostojeći datum rođenja",IF(VALUE(MID(C173,13,1))&lt;&gt;L173,"Pogrešna kontrolna cifra - treba "&amp;L173,"✓ ispravan")))))</f>
        <v/>
      </c>
      <c r="K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L173">
        <f>IF(K173="","",IF(11-MOD(K173,11)&gt;9,0,11-MOD(K173,11)))</f>
        <v/>
      </c>
      <c r="M173">
        <f>IFERROR(IF(LEN(C173)&lt;&gt;13,"",IF(VALUE(MID(C173,5,3))&gt;=800,1000,2000)+VALUE(MID(C173,5,3))),"")</f>
        <v/>
      </c>
      <c r="N173">
        <f>IFERROR(IF(M173="","",IF(AND(DAY(DATE(M173,VALUE(MID(C173,3,2)),VALUE(MID(C173,1,2))))=VALUE(MID(C173,1,2)),MONTH(DATE(M173,VALUE(MID(C173,3,2)),VALUE(MID(C173,1,2))))=VALUE(MID(C173,3,2))),DATE(M173,VALUE(MID(C173,3,2)),VALUE(MID(C173,1,2))),"")),"")</f>
        <v/>
      </c>
    </row>
    <row r="174">
      <c r="A174" s="2" t="n"/>
      <c r="B174" s="2" t="n"/>
      <c r="C174" s="3" t="n"/>
      <c r="D174" s="2" t="n"/>
      <c r="E174" s="4">
        <f>IF(A174="","",5)</f>
        <v/>
      </c>
      <c r="F174" s="2" t="n"/>
      <c r="G174" s="4" t="n"/>
      <c r="H174" s="2" t="n"/>
      <c r="I174" s="2" t="n"/>
      <c r="J174" s="2">
        <f>IF(C174="","",IF(LEN(C174)&lt;&gt;13,"Nema 13 cifara (ima "&amp;LEN(C174)&amp;")",IF(L174="","JMBG sadrži nešto što nije cifra",IF(N174="","Nepostojeći datum rođenja",IF(VALUE(MID(C174,13,1))&lt;&gt;L174,"Pogrešna kontrolna cifra - treba "&amp;L174,"✓ ispravan")))))</f>
        <v/>
      </c>
      <c r="K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L174">
        <f>IF(K174="","",IF(11-MOD(K174,11)&gt;9,0,11-MOD(K174,11)))</f>
        <v/>
      </c>
      <c r="M174">
        <f>IFERROR(IF(LEN(C174)&lt;&gt;13,"",IF(VALUE(MID(C174,5,3))&gt;=800,1000,2000)+VALUE(MID(C174,5,3))),"")</f>
        <v/>
      </c>
      <c r="N174">
        <f>IFERROR(IF(M174="","",IF(AND(DAY(DATE(M174,VALUE(MID(C174,3,2)),VALUE(MID(C174,1,2))))=VALUE(MID(C174,1,2)),MONTH(DATE(M174,VALUE(MID(C174,3,2)),VALUE(MID(C174,1,2))))=VALUE(MID(C174,3,2))),DATE(M174,VALUE(MID(C174,3,2)),VALUE(MID(C174,1,2))),"")),"")</f>
        <v/>
      </c>
    </row>
    <row r="175">
      <c r="A175" s="2" t="n"/>
      <c r="B175" s="2" t="n"/>
      <c r="C175" s="3" t="n"/>
      <c r="D175" s="2" t="n"/>
      <c r="E175" s="4">
        <f>IF(A175="","",5)</f>
        <v/>
      </c>
      <c r="F175" s="2" t="n"/>
      <c r="G175" s="4" t="n"/>
      <c r="H175" s="2" t="n"/>
      <c r="I175" s="2" t="n"/>
      <c r="J175" s="2">
        <f>IF(C175="","",IF(LEN(C175)&lt;&gt;13,"Nema 13 cifara (ima "&amp;LEN(C175)&amp;")",IF(L175="","JMBG sadrži nešto što nije cifra",IF(N175="","Nepostojeći datum rođenja",IF(VALUE(MID(C175,13,1))&lt;&gt;L175,"Pogrešna kontrolna cifra - treba "&amp;L175,"✓ ispravan")))))</f>
        <v/>
      </c>
      <c r="K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L175">
        <f>IF(K175="","",IF(11-MOD(K175,11)&gt;9,0,11-MOD(K175,11)))</f>
        <v/>
      </c>
      <c r="M175">
        <f>IFERROR(IF(LEN(C175)&lt;&gt;13,"",IF(VALUE(MID(C175,5,3))&gt;=800,1000,2000)+VALUE(MID(C175,5,3))),"")</f>
        <v/>
      </c>
      <c r="N175">
        <f>IFERROR(IF(M175="","",IF(AND(DAY(DATE(M175,VALUE(MID(C175,3,2)),VALUE(MID(C175,1,2))))=VALUE(MID(C175,1,2)),MONTH(DATE(M175,VALUE(MID(C175,3,2)),VALUE(MID(C175,1,2))))=VALUE(MID(C175,3,2))),DATE(M175,VALUE(MID(C175,3,2)),VALUE(MID(C175,1,2))),"")),"")</f>
        <v/>
      </c>
    </row>
    <row r="176">
      <c r="A176" s="2" t="n"/>
      <c r="B176" s="2" t="n"/>
      <c r="C176" s="3" t="n"/>
      <c r="D176" s="2" t="n"/>
      <c r="E176" s="4">
        <f>IF(A176="","",5)</f>
        <v/>
      </c>
      <c r="F176" s="2" t="n"/>
      <c r="G176" s="4" t="n"/>
      <c r="H176" s="2" t="n"/>
      <c r="I176" s="2" t="n"/>
      <c r="J176" s="2">
        <f>IF(C176="","",IF(LEN(C176)&lt;&gt;13,"Nema 13 cifara (ima "&amp;LEN(C176)&amp;")",IF(L176="","JMBG sadrži nešto što nije cifra",IF(N176="","Nepostojeći datum rođenja",IF(VALUE(MID(C176,13,1))&lt;&gt;L176,"Pogrešna kontrolna cifra - treba "&amp;L176,"✓ ispravan")))))</f>
        <v/>
      </c>
      <c r="K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L176">
        <f>IF(K176="","",IF(11-MOD(K176,11)&gt;9,0,11-MOD(K176,11)))</f>
        <v/>
      </c>
      <c r="M176">
        <f>IFERROR(IF(LEN(C176)&lt;&gt;13,"",IF(VALUE(MID(C176,5,3))&gt;=800,1000,2000)+VALUE(MID(C176,5,3))),"")</f>
        <v/>
      </c>
      <c r="N176">
        <f>IFERROR(IF(M176="","",IF(AND(DAY(DATE(M176,VALUE(MID(C176,3,2)),VALUE(MID(C176,1,2))))=VALUE(MID(C176,1,2)),MONTH(DATE(M176,VALUE(MID(C176,3,2)),VALUE(MID(C176,1,2))))=VALUE(MID(C176,3,2))),DATE(M176,VALUE(MID(C176,3,2)),VALUE(MID(C176,1,2))),"")),"")</f>
        <v/>
      </c>
    </row>
    <row r="177">
      <c r="A177" s="2" t="n"/>
      <c r="B177" s="2" t="n"/>
      <c r="C177" s="3" t="n"/>
      <c r="D177" s="2" t="n"/>
      <c r="E177" s="4">
        <f>IF(A177="","",5)</f>
        <v/>
      </c>
      <c r="F177" s="2" t="n"/>
      <c r="G177" s="4" t="n"/>
      <c r="H177" s="2" t="n"/>
      <c r="I177" s="2" t="n"/>
      <c r="J177" s="2">
        <f>IF(C177="","",IF(LEN(C177)&lt;&gt;13,"Nema 13 cifara (ima "&amp;LEN(C177)&amp;")",IF(L177="","JMBG sadrži nešto što nije cifra",IF(N177="","Nepostojeći datum rođenja",IF(VALUE(MID(C177,13,1))&lt;&gt;L177,"Pogrešna kontrolna cifra - treba "&amp;L177,"✓ ispravan")))))</f>
        <v/>
      </c>
      <c r="K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L177">
        <f>IF(K177="","",IF(11-MOD(K177,11)&gt;9,0,11-MOD(K177,11)))</f>
        <v/>
      </c>
      <c r="M177">
        <f>IFERROR(IF(LEN(C177)&lt;&gt;13,"",IF(VALUE(MID(C177,5,3))&gt;=800,1000,2000)+VALUE(MID(C177,5,3))),"")</f>
        <v/>
      </c>
      <c r="N177">
        <f>IFERROR(IF(M177="","",IF(AND(DAY(DATE(M177,VALUE(MID(C177,3,2)),VALUE(MID(C177,1,2))))=VALUE(MID(C177,1,2)),MONTH(DATE(M177,VALUE(MID(C177,3,2)),VALUE(MID(C177,1,2))))=VALUE(MID(C177,3,2))),DATE(M177,VALUE(MID(C177,3,2)),VALUE(MID(C177,1,2))),"")),"")</f>
        <v/>
      </c>
    </row>
    <row r="178">
      <c r="A178" s="2" t="n"/>
      <c r="B178" s="2" t="n"/>
      <c r="C178" s="3" t="n"/>
      <c r="D178" s="2" t="n"/>
      <c r="E178" s="4">
        <f>IF(A178="","",5)</f>
        <v/>
      </c>
      <c r="F178" s="2" t="n"/>
      <c r="G178" s="4" t="n"/>
      <c r="H178" s="2" t="n"/>
      <c r="I178" s="2" t="n"/>
      <c r="J178" s="2">
        <f>IF(C178="","",IF(LEN(C178)&lt;&gt;13,"Nema 13 cifara (ima "&amp;LEN(C178)&amp;")",IF(L178="","JMBG sadrži nešto što nije cifra",IF(N178="","Nepostojeći datum rođenja",IF(VALUE(MID(C178,13,1))&lt;&gt;L178,"Pogrešna kontrolna cifra - treba "&amp;L178,"✓ ispravan")))))</f>
        <v/>
      </c>
      <c r="K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L178">
        <f>IF(K178="","",IF(11-MOD(K178,11)&gt;9,0,11-MOD(K178,11)))</f>
        <v/>
      </c>
      <c r="M178">
        <f>IFERROR(IF(LEN(C178)&lt;&gt;13,"",IF(VALUE(MID(C178,5,3))&gt;=800,1000,2000)+VALUE(MID(C178,5,3))),"")</f>
        <v/>
      </c>
      <c r="N178">
        <f>IFERROR(IF(M178="","",IF(AND(DAY(DATE(M178,VALUE(MID(C178,3,2)),VALUE(MID(C178,1,2))))=VALUE(MID(C178,1,2)),MONTH(DATE(M178,VALUE(MID(C178,3,2)),VALUE(MID(C178,1,2))))=VALUE(MID(C178,3,2))),DATE(M178,VALUE(MID(C178,3,2)),VALUE(MID(C178,1,2))),"")),"")</f>
        <v/>
      </c>
    </row>
    <row r="179">
      <c r="A179" s="2" t="n"/>
      <c r="B179" s="2" t="n"/>
      <c r="C179" s="3" t="n"/>
      <c r="D179" s="2" t="n"/>
      <c r="E179" s="4">
        <f>IF(A179="","",5)</f>
        <v/>
      </c>
      <c r="F179" s="2" t="n"/>
      <c r="G179" s="4" t="n"/>
      <c r="H179" s="2" t="n"/>
      <c r="I179" s="2" t="n"/>
      <c r="J179" s="2">
        <f>IF(C179="","",IF(LEN(C179)&lt;&gt;13,"Nema 13 cifara (ima "&amp;LEN(C179)&amp;")",IF(L179="","JMBG sadrži nešto što nije cifra",IF(N179="","Nepostojeći datum rođenja",IF(VALUE(MID(C179,13,1))&lt;&gt;L179,"Pogrešna kontrolna cifra - treba "&amp;L179,"✓ ispravan")))))</f>
        <v/>
      </c>
      <c r="K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L179">
        <f>IF(K179="","",IF(11-MOD(K179,11)&gt;9,0,11-MOD(K179,11)))</f>
        <v/>
      </c>
      <c r="M179">
        <f>IFERROR(IF(LEN(C179)&lt;&gt;13,"",IF(VALUE(MID(C179,5,3))&gt;=800,1000,2000)+VALUE(MID(C179,5,3))),"")</f>
        <v/>
      </c>
      <c r="N179">
        <f>IFERROR(IF(M179="","",IF(AND(DAY(DATE(M179,VALUE(MID(C179,3,2)),VALUE(MID(C179,1,2))))=VALUE(MID(C179,1,2)),MONTH(DATE(M179,VALUE(MID(C179,3,2)),VALUE(MID(C179,1,2))))=VALUE(MID(C179,3,2))),DATE(M179,VALUE(MID(C179,3,2)),VALUE(MID(C179,1,2))),"")),"")</f>
        <v/>
      </c>
    </row>
    <row r="180">
      <c r="A180" s="2" t="n"/>
      <c r="B180" s="2" t="n"/>
      <c r="C180" s="3" t="n"/>
      <c r="D180" s="2" t="n"/>
      <c r="E180" s="4">
        <f>IF(A180="","",5)</f>
        <v/>
      </c>
      <c r="F180" s="2" t="n"/>
      <c r="G180" s="4" t="n"/>
      <c r="H180" s="2" t="n"/>
      <c r="I180" s="2" t="n"/>
      <c r="J180" s="2">
        <f>IF(C180="","",IF(LEN(C180)&lt;&gt;13,"Nema 13 cifara (ima "&amp;LEN(C180)&amp;")",IF(L180="","JMBG sadrži nešto što nije cifra",IF(N180="","Nepostojeći datum rođenja",IF(VALUE(MID(C180,13,1))&lt;&gt;L180,"Pogrešna kontrolna cifra - treba "&amp;L180,"✓ ispravan")))))</f>
        <v/>
      </c>
      <c r="K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L180">
        <f>IF(K180="","",IF(11-MOD(K180,11)&gt;9,0,11-MOD(K180,11)))</f>
        <v/>
      </c>
      <c r="M180">
        <f>IFERROR(IF(LEN(C180)&lt;&gt;13,"",IF(VALUE(MID(C180,5,3))&gt;=800,1000,2000)+VALUE(MID(C180,5,3))),"")</f>
        <v/>
      </c>
      <c r="N180">
        <f>IFERROR(IF(M180="","",IF(AND(DAY(DATE(M180,VALUE(MID(C180,3,2)),VALUE(MID(C180,1,2))))=VALUE(MID(C180,1,2)),MONTH(DATE(M180,VALUE(MID(C180,3,2)),VALUE(MID(C180,1,2))))=VALUE(MID(C180,3,2))),DATE(M180,VALUE(MID(C180,3,2)),VALUE(MID(C180,1,2))),"")),"")</f>
        <v/>
      </c>
    </row>
    <row r="181">
      <c r="A181" s="2" t="n"/>
      <c r="B181" s="2" t="n"/>
      <c r="C181" s="3" t="n"/>
      <c r="D181" s="2" t="n"/>
      <c r="E181" s="4">
        <f>IF(A181="","",5)</f>
        <v/>
      </c>
      <c r="F181" s="2" t="n"/>
      <c r="G181" s="4" t="n"/>
      <c r="H181" s="2" t="n"/>
      <c r="I181" s="2" t="n"/>
      <c r="J181" s="2">
        <f>IF(C181="","",IF(LEN(C181)&lt;&gt;13,"Nema 13 cifara (ima "&amp;LEN(C181)&amp;")",IF(L181="","JMBG sadrži nešto što nije cifra",IF(N181="","Nepostojeći datum rođenja",IF(VALUE(MID(C181,13,1))&lt;&gt;L181,"Pogrešna kontrolna cifra - treba "&amp;L181,"✓ ispravan")))))</f>
        <v/>
      </c>
      <c r="K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L181">
        <f>IF(K181="","",IF(11-MOD(K181,11)&gt;9,0,11-MOD(K181,11)))</f>
        <v/>
      </c>
      <c r="M181">
        <f>IFERROR(IF(LEN(C181)&lt;&gt;13,"",IF(VALUE(MID(C181,5,3))&gt;=800,1000,2000)+VALUE(MID(C181,5,3))),"")</f>
        <v/>
      </c>
      <c r="N181">
        <f>IFERROR(IF(M181="","",IF(AND(DAY(DATE(M181,VALUE(MID(C181,3,2)),VALUE(MID(C181,1,2))))=VALUE(MID(C181,1,2)),MONTH(DATE(M181,VALUE(MID(C181,3,2)),VALUE(MID(C181,1,2))))=VALUE(MID(C181,3,2))),DATE(M181,VALUE(MID(C181,3,2)),VALUE(MID(C181,1,2))),"")),"")</f>
        <v/>
      </c>
    </row>
    <row r="182">
      <c r="A182" s="2" t="n"/>
      <c r="B182" s="2" t="n"/>
      <c r="C182" s="3" t="n"/>
      <c r="D182" s="2" t="n"/>
      <c r="E182" s="4">
        <f>IF(A182="","",5)</f>
        <v/>
      </c>
      <c r="F182" s="2" t="n"/>
      <c r="G182" s="4" t="n"/>
      <c r="H182" s="2" t="n"/>
      <c r="I182" s="2" t="n"/>
      <c r="J182" s="2">
        <f>IF(C182="","",IF(LEN(C182)&lt;&gt;13,"Nema 13 cifara (ima "&amp;LEN(C182)&amp;")",IF(L182="","JMBG sadrži nešto što nije cifra",IF(N182="","Nepostojeći datum rođenja",IF(VALUE(MID(C182,13,1))&lt;&gt;L182,"Pogrešna kontrolna cifra - treba "&amp;L182,"✓ ispravan")))))</f>
        <v/>
      </c>
      <c r="K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L182">
        <f>IF(K182="","",IF(11-MOD(K182,11)&gt;9,0,11-MOD(K182,11)))</f>
        <v/>
      </c>
      <c r="M182">
        <f>IFERROR(IF(LEN(C182)&lt;&gt;13,"",IF(VALUE(MID(C182,5,3))&gt;=800,1000,2000)+VALUE(MID(C182,5,3))),"")</f>
        <v/>
      </c>
      <c r="N182">
        <f>IFERROR(IF(M182="","",IF(AND(DAY(DATE(M182,VALUE(MID(C182,3,2)),VALUE(MID(C182,1,2))))=VALUE(MID(C182,1,2)),MONTH(DATE(M182,VALUE(MID(C182,3,2)),VALUE(MID(C182,1,2))))=VALUE(MID(C182,3,2))),DATE(M182,VALUE(MID(C182,3,2)),VALUE(MID(C182,1,2))),"")),"")</f>
        <v/>
      </c>
    </row>
    <row r="183">
      <c r="A183" s="2" t="n"/>
      <c r="B183" s="2" t="n"/>
      <c r="C183" s="3" t="n"/>
      <c r="D183" s="2" t="n"/>
      <c r="E183" s="4">
        <f>IF(A183="","",5)</f>
        <v/>
      </c>
      <c r="F183" s="2" t="n"/>
      <c r="G183" s="4" t="n"/>
      <c r="H183" s="2" t="n"/>
      <c r="I183" s="2" t="n"/>
      <c r="J183" s="2">
        <f>IF(C183="","",IF(LEN(C183)&lt;&gt;13,"Nema 13 cifara (ima "&amp;LEN(C183)&amp;")",IF(L183="","JMBG sadrži nešto što nije cifra",IF(N183="","Nepostojeći datum rođenja",IF(VALUE(MID(C183,13,1))&lt;&gt;L183,"Pogrešna kontrolna cifra - treba "&amp;L183,"✓ ispravan")))))</f>
        <v/>
      </c>
      <c r="K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L183">
        <f>IF(K183="","",IF(11-MOD(K183,11)&gt;9,0,11-MOD(K183,11)))</f>
        <v/>
      </c>
      <c r="M183">
        <f>IFERROR(IF(LEN(C183)&lt;&gt;13,"",IF(VALUE(MID(C183,5,3))&gt;=800,1000,2000)+VALUE(MID(C183,5,3))),"")</f>
        <v/>
      </c>
      <c r="N183">
        <f>IFERROR(IF(M183="","",IF(AND(DAY(DATE(M183,VALUE(MID(C183,3,2)),VALUE(MID(C183,1,2))))=VALUE(MID(C183,1,2)),MONTH(DATE(M183,VALUE(MID(C183,3,2)),VALUE(MID(C183,1,2))))=VALUE(MID(C183,3,2))),DATE(M183,VALUE(MID(C183,3,2)),VALUE(MID(C183,1,2))),"")),"")</f>
        <v/>
      </c>
    </row>
    <row r="184">
      <c r="A184" s="2" t="n"/>
      <c r="B184" s="2" t="n"/>
      <c r="C184" s="3" t="n"/>
      <c r="D184" s="2" t="n"/>
      <c r="E184" s="4">
        <f>IF(A184="","",5)</f>
        <v/>
      </c>
      <c r="F184" s="2" t="n"/>
      <c r="G184" s="4" t="n"/>
      <c r="H184" s="2" t="n"/>
      <c r="I184" s="2" t="n"/>
      <c r="J184" s="2">
        <f>IF(C184="","",IF(LEN(C184)&lt;&gt;13,"Nema 13 cifara (ima "&amp;LEN(C184)&amp;")",IF(L184="","JMBG sadrži nešto što nije cifra",IF(N184="","Nepostojeći datum rođenja",IF(VALUE(MID(C184,13,1))&lt;&gt;L184,"Pogrešna kontrolna cifra - treba "&amp;L184,"✓ ispravan")))))</f>
        <v/>
      </c>
      <c r="K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L184">
        <f>IF(K184="","",IF(11-MOD(K184,11)&gt;9,0,11-MOD(K184,11)))</f>
        <v/>
      </c>
      <c r="M184">
        <f>IFERROR(IF(LEN(C184)&lt;&gt;13,"",IF(VALUE(MID(C184,5,3))&gt;=800,1000,2000)+VALUE(MID(C184,5,3))),"")</f>
        <v/>
      </c>
      <c r="N184">
        <f>IFERROR(IF(M184="","",IF(AND(DAY(DATE(M184,VALUE(MID(C184,3,2)),VALUE(MID(C184,1,2))))=VALUE(MID(C184,1,2)),MONTH(DATE(M184,VALUE(MID(C184,3,2)),VALUE(MID(C184,1,2))))=VALUE(MID(C184,3,2))),DATE(M184,VALUE(MID(C184,3,2)),VALUE(MID(C184,1,2))),"")),"")</f>
        <v/>
      </c>
    </row>
    <row r="185">
      <c r="A185" s="2" t="n"/>
      <c r="B185" s="2" t="n"/>
      <c r="C185" s="3" t="n"/>
      <c r="D185" s="2" t="n"/>
      <c r="E185" s="4">
        <f>IF(A185="","",5)</f>
        <v/>
      </c>
      <c r="F185" s="2" t="n"/>
      <c r="G185" s="4" t="n"/>
      <c r="H185" s="2" t="n"/>
      <c r="I185" s="2" t="n"/>
      <c r="J185" s="2">
        <f>IF(C185="","",IF(LEN(C185)&lt;&gt;13,"Nema 13 cifara (ima "&amp;LEN(C185)&amp;")",IF(L185="","JMBG sadrži nešto što nije cifra",IF(N185="","Nepostojeći datum rođenja",IF(VALUE(MID(C185,13,1))&lt;&gt;L185,"Pogrešna kontrolna cifra - treba "&amp;L185,"✓ ispravan")))))</f>
        <v/>
      </c>
      <c r="K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L185">
        <f>IF(K185="","",IF(11-MOD(K185,11)&gt;9,0,11-MOD(K185,11)))</f>
        <v/>
      </c>
      <c r="M185">
        <f>IFERROR(IF(LEN(C185)&lt;&gt;13,"",IF(VALUE(MID(C185,5,3))&gt;=800,1000,2000)+VALUE(MID(C185,5,3))),"")</f>
        <v/>
      </c>
      <c r="N185">
        <f>IFERROR(IF(M185="","",IF(AND(DAY(DATE(M185,VALUE(MID(C185,3,2)),VALUE(MID(C185,1,2))))=VALUE(MID(C185,1,2)),MONTH(DATE(M185,VALUE(MID(C185,3,2)),VALUE(MID(C185,1,2))))=VALUE(MID(C185,3,2))),DATE(M185,VALUE(MID(C185,3,2)),VALUE(MID(C185,1,2))),"")),"")</f>
        <v/>
      </c>
    </row>
    <row r="186">
      <c r="A186" s="2" t="n"/>
      <c r="B186" s="2" t="n"/>
      <c r="C186" s="3" t="n"/>
      <c r="D186" s="2" t="n"/>
      <c r="E186" s="4">
        <f>IF(A186="","",5)</f>
        <v/>
      </c>
      <c r="F186" s="2" t="n"/>
      <c r="G186" s="4" t="n"/>
      <c r="H186" s="2" t="n"/>
      <c r="I186" s="2" t="n"/>
      <c r="J186" s="2">
        <f>IF(C186="","",IF(LEN(C186)&lt;&gt;13,"Nema 13 cifara (ima "&amp;LEN(C186)&amp;")",IF(L186="","JMBG sadrži nešto što nije cifra",IF(N186="","Nepostojeći datum rođenja",IF(VALUE(MID(C186,13,1))&lt;&gt;L186,"Pogrešna kontrolna cifra - treba "&amp;L186,"✓ ispravan")))))</f>
        <v/>
      </c>
      <c r="K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L186">
        <f>IF(K186="","",IF(11-MOD(K186,11)&gt;9,0,11-MOD(K186,11)))</f>
        <v/>
      </c>
      <c r="M186">
        <f>IFERROR(IF(LEN(C186)&lt;&gt;13,"",IF(VALUE(MID(C186,5,3))&gt;=800,1000,2000)+VALUE(MID(C186,5,3))),"")</f>
        <v/>
      </c>
      <c r="N186">
        <f>IFERROR(IF(M186="","",IF(AND(DAY(DATE(M186,VALUE(MID(C186,3,2)),VALUE(MID(C186,1,2))))=VALUE(MID(C186,1,2)),MONTH(DATE(M186,VALUE(MID(C186,3,2)),VALUE(MID(C186,1,2))))=VALUE(MID(C186,3,2))),DATE(M186,VALUE(MID(C186,3,2)),VALUE(MID(C186,1,2))),"")),"")</f>
        <v/>
      </c>
    </row>
    <row r="187">
      <c r="A187" s="2" t="n"/>
      <c r="B187" s="2" t="n"/>
      <c r="C187" s="3" t="n"/>
      <c r="D187" s="2" t="n"/>
      <c r="E187" s="4">
        <f>IF(A187="","",5)</f>
        <v/>
      </c>
      <c r="F187" s="2" t="n"/>
      <c r="G187" s="4" t="n"/>
      <c r="H187" s="2" t="n"/>
      <c r="I187" s="2" t="n"/>
      <c r="J187" s="2">
        <f>IF(C187="","",IF(LEN(C187)&lt;&gt;13,"Nema 13 cifara (ima "&amp;LEN(C187)&amp;")",IF(L187="","JMBG sadrži nešto što nije cifra",IF(N187="","Nepostojeći datum rođenja",IF(VALUE(MID(C187,13,1))&lt;&gt;L187,"Pogrešna kontrolna cifra - treba "&amp;L187,"✓ ispravan")))))</f>
        <v/>
      </c>
      <c r="K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L187">
        <f>IF(K187="","",IF(11-MOD(K187,11)&gt;9,0,11-MOD(K187,11)))</f>
        <v/>
      </c>
      <c r="M187">
        <f>IFERROR(IF(LEN(C187)&lt;&gt;13,"",IF(VALUE(MID(C187,5,3))&gt;=800,1000,2000)+VALUE(MID(C187,5,3))),"")</f>
        <v/>
      </c>
      <c r="N187">
        <f>IFERROR(IF(M187="","",IF(AND(DAY(DATE(M187,VALUE(MID(C187,3,2)),VALUE(MID(C187,1,2))))=VALUE(MID(C187,1,2)),MONTH(DATE(M187,VALUE(MID(C187,3,2)),VALUE(MID(C187,1,2))))=VALUE(MID(C187,3,2))),DATE(M187,VALUE(MID(C187,3,2)),VALUE(MID(C187,1,2))),"")),"")</f>
        <v/>
      </c>
    </row>
    <row r="188">
      <c r="A188" s="2" t="n"/>
      <c r="B188" s="2" t="n"/>
      <c r="C188" s="3" t="n"/>
      <c r="D188" s="2" t="n"/>
      <c r="E188" s="4">
        <f>IF(A188="","",5)</f>
        <v/>
      </c>
      <c r="F188" s="2" t="n"/>
      <c r="G188" s="4" t="n"/>
      <c r="H188" s="2" t="n"/>
      <c r="I188" s="2" t="n"/>
      <c r="J188" s="2">
        <f>IF(C188="","",IF(LEN(C188)&lt;&gt;13,"Nema 13 cifara (ima "&amp;LEN(C188)&amp;")",IF(L188="","JMBG sadrži nešto što nije cifra",IF(N188="","Nepostojeći datum rođenja",IF(VALUE(MID(C188,13,1))&lt;&gt;L188,"Pogrešna kontrolna cifra - treba "&amp;L188,"✓ ispravan")))))</f>
        <v/>
      </c>
      <c r="K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L188">
        <f>IF(K188="","",IF(11-MOD(K188,11)&gt;9,0,11-MOD(K188,11)))</f>
        <v/>
      </c>
      <c r="M188">
        <f>IFERROR(IF(LEN(C188)&lt;&gt;13,"",IF(VALUE(MID(C188,5,3))&gt;=800,1000,2000)+VALUE(MID(C188,5,3))),"")</f>
        <v/>
      </c>
      <c r="N188">
        <f>IFERROR(IF(M188="","",IF(AND(DAY(DATE(M188,VALUE(MID(C188,3,2)),VALUE(MID(C188,1,2))))=VALUE(MID(C188,1,2)),MONTH(DATE(M188,VALUE(MID(C188,3,2)),VALUE(MID(C188,1,2))))=VALUE(MID(C188,3,2))),DATE(M188,VALUE(MID(C188,3,2)),VALUE(MID(C188,1,2))),"")),"")</f>
        <v/>
      </c>
    </row>
    <row r="189">
      <c r="A189" s="2" t="n"/>
      <c r="B189" s="2" t="n"/>
      <c r="C189" s="3" t="n"/>
      <c r="D189" s="2" t="n"/>
      <c r="E189" s="4">
        <f>IF(A189="","",5)</f>
        <v/>
      </c>
      <c r="F189" s="2" t="n"/>
      <c r="G189" s="4" t="n"/>
      <c r="H189" s="2" t="n"/>
      <c r="I189" s="2" t="n"/>
      <c r="J189" s="2">
        <f>IF(C189="","",IF(LEN(C189)&lt;&gt;13,"Nema 13 cifara (ima "&amp;LEN(C189)&amp;")",IF(L189="","JMBG sadrži nešto što nije cifra",IF(N189="","Nepostojeći datum rođenja",IF(VALUE(MID(C189,13,1))&lt;&gt;L189,"Pogrešna kontrolna cifra - treba "&amp;L189,"✓ ispravan")))))</f>
        <v/>
      </c>
      <c r="K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L189">
        <f>IF(K189="","",IF(11-MOD(K189,11)&gt;9,0,11-MOD(K189,11)))</f>
        <v/>
      </c>
      <c r="M189">
        <f>IFERROR(IF(LEN(C189)&lt;&gt;13,"",IF(VALUE(MID(C189,5,3))&gt;=800,1000,2000)+VALUE(MID(C189,5,3))),"")</f>
        <v/>
      </c>
      <c r="N189">
        <f>IFERROR(IF(M189="","",IF(AND(DAY(DATE(M189,VALUE(MID(C189,3,2)),VALUE(MID(C189,1,2))))=VALUE(MID(C189,1,2)),MONTH(DATE(M189,VALUE(MID(C189,3,2)),VALUE(MID(C189,1,2))))=VALUE(MID(C189,3,2))),DATE(M189,VALUE(MID(C189,3,2)),VALUE(MID(C189,1,2))),"")),"")</f>
        <v/>
      </c>
    </row>
    <row r="190">
      <c r="A190" s="2" t="n"/>
      <c r="B190" s="2" t="n"/>
      <c r="C190" s="3" t="n"/>
      <c r="D190" s="2" t="n"/>
      <c r="E190" s="4">
        <f>IF(A190="","",5)</f>
        <v/>
      </c>
      <c r="F190" s="2" t="n"/>
      <c r="G190" s="4" t="n"/>
      <c r="H190" s="2" t="n"/>
      <c r="I190" s="2" t="n"/>
      <c r="J190" s="2">
        <f>IF(C190="","",IF(LEN(C190)&lt;&gt;13,"Nema 13 cifara (ima "&amp;LEN(C190)&amp;")",IF(L190="","JMBG sadrži nešto što nije cifra",IF(N190="","Nepostojeći datum rođenja",IF(VALUE(MID(C190,13,1))&lt;&gt;L190,"Pogrešna kontrolna cifra - treba "&amp;L190,"✓ ispravan")))))</f>
        <v/>
      </c>
      <c r="K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L190">
        <f>IF(K190="","",IF(11-MOD(K190,11)&gt;9,0,11-MOD(K190,11)))</f>
        <v/>
      </c>
      <c r="M190">
        <f>IFERROR(IF(LEN(C190)&lt;&gt;13,"",IF(VALUE(MID(C190,5,3))&gt;=800,1000,2000)+VALUE(MID(C190,5,3))),"")</f>
        <v/>
      </c>
      <c r="N190">
        <f>IFERROR(IF(M190="","",IF(AND(DAY(DATE(M190,VALUE(MID(C190,3,2)),VALUE(MID(C190,1,2))))=VALUE(MID(C190,1,2)),MONTH(DATE(M190,VALUE(MID(C190,3,2)),VALUE(MID(C190,1,2))))=VALUE(MID(C190,3,2))),DATE(M190,VALUE(MID(C190,3,2)),VALUE(MID(C190,1,2))),"")),"")</f>
        <v/>
      </c>
    </row>
    <row r="191">
      <c r="A191" s="2" t="n"/>
      <c r="B191" s="2" t="n"/>
      <c r="C191" s="3" t="n"/>
      <c r="D191" s="2" t="n"/>
      <c r="E191" s="4">
        <f>IF(A191="","",5)</f>
        <v/>
      </c>
      <c r="F191" s="2" t="n"/>
      <c r="G191" s="4" t="n"/>
      <c r="H191" s="2" t="n"/>
      <c r="I191" s="2" t="n"/>
      <c r="J191" s="2">
        <f>IF(C191="","",IF(LEN(C191)&lt;&gt;13,"Nema 13 cifara (ima "&amp;LEN(C191)&amp;")",IF(L191="","JMBG sadrži nešto što nije cifra",IF(N191="","Nepostojeći datum rođenja",IF(VALUE(MID(C191,13,1))&lt;&gt;L191,"Pogrešna kontrolna cifra - treba "&amp;L191,"✓ ispravan")))))</f>
        <v/>
      </c>
      <c r="K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L191">
        <f>IF(K191="","",IF(11-MOD(K191,11)&gt;9,0,11-MOD(K191,11)))</f>
        <v/>
      </c>
      <c r="M191">
        <f>IFERROR(IF(LEN(C191)&lt;&gt;13,"",IF(VALUE(MID(C191,5,3))&gt;=800,1000,2000)+VALUE(MID(C191,5,3))),"")</f>
        <v/>
      </c>
      <c r="N191">
        <f>IFERROR(IF(M191="","",IF(AND(DAY(DATE(M191,VALUE(MID(C191,3,2)),VALUE(MID(C191,1,2))))=VALUE(MID(C191,1,2)),MONTH(DATE(M191,VALUE(MID(C191,3,2)),VALUE(MID(C191,1,2))))=VALUE(MID(C191,3,2))),DATE(M191,VALUE(MID(C191,3,2)),VALUE(MID(C191,1,2))),"")),"")</f>
        <v/>
      </c>
    </row>
    <row r="192">
      <c r="A192" s="2" t="n"/>
      <c r="B192" s="2" t="n"/>
      <c r="C192" s="3" t="n"/>
      <c r="D192" s="2" t="n"/>
      <c r="E192" s="4">
        <f>IF(A192="","",5)</f>
        <v/>
      </c>
      <c r="F192" s="2" t="n"/>
      <c r="G192" s="4" t="n"/>
      <c r="H192" s="2" t="n"/>
      <c r="I192" s="2" t="n"/>
      <c r="J192" s="2">
        <f>IF(C192="","",IF(LEN(C192)&lt;&gt;13,"Nema 13 cifara (ima "&amp;LEN(C192)&amp;")",IF(L192="","JMBG sadrži nešto što nije cifra",IF(N192="","Nepostojeći datum rođenja",IF(VALUE(MID(C192,13,1))&lt;&gt;L192,"Pogrešna kontrolna cifra - treba "&amp;L192,"✓ ispravan")))))</f>
        <v/>
      </c>
      <c r="K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L192">
        <f>IF(K192="","",IF(11-MOD(K192,11)&gt;9,0,11-MOD(K192,11)))</f>
        <v/>
      </c>
      <c r="M192">
        <f>IFERROR(IF(LEN(C192)&lt;&gt;13,"",IF(VALUE(MID(C192,5,3))&gt;=800,1000,2000)+VALUE(MID(C192,5,3))),"")</f>
        <v/>
      </c>
      <c r="N192">
        <f>IFERROR(IF(M192="","",IF(AND(DAY(DATE(M192,VALUE(MID(C192,3,2)),VALUE(MID(C192,1,2))))=VALUE(MID(C192,1,2)),MONTH(DATE(M192,VALUE(MID(C192,3,2)),VALUE(MID(C192,1,2))))=VALUE(MID(C192,3,2))),DATE(M192,VALUE(MID(C192,3,2)),VALUE(MID(C192,1,2))),"")),"")</f>
        <v/>
      </c>
    </row>
    <row r="193">
      <c r="A193" s="2" t="n"/>
      <c r="B193" s="2" t="n"/>
      <c r="C193" s="3" t="n"/>
      <c r="D193" s="2" t="n"/>
      <c r="E193" s="4">
        <f>IF(A193="","",5)</f>
        <v/>
      </c>
      <c r="F193" s="2" t="n"/>
      <c r="G193" s="4" t="n"/>
      <c r="H193" s="2" t="n"/>
      <c r="I193" s="2" t="n"/>
      <c r="J193" s="2">
        <f>IF(C193="","",IF(LEN(C193)&lt;&gt;13,"Nema 13 cifara (ima "&amp;LEN(C193)&amp;")",IF(L193="","JMBG sadrži nešto što nije cifra",IF(N193="","Nepostojeći datum rođenja",IF(VALUE(MID(C193,13,1))&lt;&gt;L193,"Pogrešna kontrolna cifra - treba "&amp;L193,"✓ ispravan")))))</f>
        <v/>
      </c>
      <c r="K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L193">
        <f>IF(K193="","",IF(11-MOD(K193,11)&gt;9,0,11-MOD(K193,11)))</f>
        <v/>
      </c>
      <c r="M193">
        <f>IFERROR(IF(LEN(C193)&lt;&gt;13,"",IF(VALUE(MID(C193,5,3))&gt;=800,1000,2000)+VALUE(MID(C193,5,3))),"")</f>
        <v/>
      </c>
      <c r="N193">
        <f>IFERROR(IF(M193="","",IF(AND(DAY(DATE(M193,VALUE(MID(C193,3,2)),VALUE(MID(C193,1,2))))=VALUE(MID(C193,1,2)),MONTH(DATE(M193,VALUE(MID(C193,3,2)),VALUE(MID(C193,1,2))))=VALUE(MID(C193,3,2))),DATE(M193,VALUE(MID(C193,3,2)),VALUE(MID(C193,1,2))),"")),"")</f>
        <v/>
      </c>
    </row>
    <row r="194">
      <c r="A194" s="2" t="n"/>
      <c r="B194" s="2" t="n"/>
      <c r="C194" s="3" t="n"/>
      <c r="D194" s="2" t="n"/>
      <c r="E194" s="4">
        <f>IF(A194="","",5)</f>
        <v/>
      </c>
      <c r="F194" s="2" t="n"/>
      <c r="G194" s="4" t="n"/>
      <c r="H194" s="2" t="n"/>
      <c r="I194" s="2" t="n"/>
      <c r="J194" s="2">
        <f>IF(C194="","",IF(LEN(C194)&lt;&gt;13,"Nema 13 cifara (ima "&amp;LEN(C194)&amp;")",IF(L194="","JMBG sadrži nešto što nije cifra",IF(N194="","Nepostojeći datum rođenja",IF(VALUE(MID(C194,13,1))&lt;&gt;L194,"Pogrešna kontrolna cifra - treba "&amp;L194,"✓ ispravan")))))</f>
        <v/>
      </c>
      <c r="K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L194">
        <f>IF(K194="","",IF(11-MOD(K194,11)&gt;9,0,11-MOD(K194,11)))</f>
        <v/>
      </c>
      <c r="M194">
        <f>IFERROR(IF(LEN(C194)&lt;&gt;13,"",IF(VALUE(MID(C194,5,3))&gt;=800,1000,2000)+VALUE(MID(C194,5,3))),"")</f>
        <v/>
      </c>
      <c r="N194">
        <f>IFERROR(IF(M194="","",IF(AND(DAY(DATE(M194,VALUE(MID(C194,3,2)),VALUE(MID(C194,1,2))))=VALUE(MID(C194,1,2)),MONTH(DATE(M194,VALUE(MID(C194,3,2)),VALUE(MID(C194,1,2))))=VALUE(MID(C194,3,2))),DATE(M194,VALUE(MID(C194,3,2)),VALUE(MID(C194,1,2))),"")),"")</f>
        <v/>
      </c>
    </row>
    <row r="195">
      <c r="A195" s="2" t="n"/>
      <c r="B195" s="2" t="n"/>
      <c r="C195" s="3" t="n"/>
      <c r="D195" s="2" t="n"/>
      <c r="E195" s="4">
        <f>IF(A195="","",5)</f>
        <v/>
      </c>
      <c r="F195" s="2" t="n"/>
      <c r="G195" s="4" t="n"/>
      <c r="H195" s="2" t="n"/>
      <c r="I195" s="2" t="n"/>
      <c r="J195" s="2">
        <f>IF(C195="","",IF(LEN(C195)&lt;&gt;13,"Nema 13 cifara (ima "&amp;LEN(C195)&amp;")",IF(L195="","JMBG sadrži nešto što nije cifra",IF(N195="","Nepostojeći datum rođenja",IF(VALUE(MID(C195,13,1))&lt;&gt;L195,"Pogrešna kontrolna cifra - treba "&amp;L195,"✓ ispravan")))))</f>
        <v/>
      </c>
      <c r="K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L195">
        <f>IF(K195="","",IF(11-MOD(K195,11)&gt;9,0,11-MOD(K195,11)))</f>
        <v/>
      </c>
      <c r="M195">
        <f>IFERROR(IF(LEN(C195)&lt;&gt;13,"",IF(VALUE(MID(C195,5,3))&gt;=800,1000,2000)+VALUE(MID(C195,5,3))),"")</f>
        <v/>
      </c>
      <c r="N195">
        <f>IFERROR(IF(M195="","",IF(AND(DAY(DATE(M195,VALUE(MID(C195,3,2)),VALUE(MID(C195,1,2))))=VALUE(MID(C195,1,2)),MONTH(DATE(M195,VALUE(MID(C195,3,2)),VALUE(MID(C195,1,2))))=VALUE(MID(C195,3,2))),DATE(M195,VALUE(MID(C195,3,2)),VALUE(MID(C195,1,2))),"")),"")</f>
        <v/>
      </c>
    </row>
    <row r="196">
      <c r="A196" s="2" t="n"/>
      <c r="B196" s="2" t="n"/>
      <c r="C196" s="3" t="n"/>
      <c r="D196" s="2" t="n"/>
      <c r="E196" s="4">
        <f>IF(A196="","",5)</f>
        <v/>
      </c>
      <c r="F196" s="2" t="n"/>
      <c r="G196" s="4" t="n"/>
      <c r="H196" s="2" t="n"/>
      <c r="I196" s="2" t="n"/>
      <c r="J196" s="2">
        <f>IF(C196="","",IF(LEN(C196)&lt;&gt;13,"Nema 13 cifara (ima "&amp;LEN(C196)&amp;")",IF(L196="","JMBG sadrži nešto što nije cifra",IF(N196="","Nepostojeći datum rođenja",IF(VALUE(MID(C196,13,1))&lt;&gt;L196,"Pogrešna kontrolna cifra - treba "&amp;L196,"✓ ispravan")))))</f>
        <v/>
      </c>
      <c r="K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L196">
        <f>IF(K196="","",IF(11-MOD(K196,11)&gt;9,0,11-MOD(K196,11)))</f>
        <v/>
      </c>
      <c r="M196">
        <f>IFERROR(IF(LEN(C196)&lt;&gt;13,"",IF(VALUE(MID(C196,5,3))&gt;=800,1000,2000)+VALUE(MID(C196,5,3))),"")</f>
        <v/>
      </c>
      <c r="N196">
        <f>IFERROR(IF(M196="","",IF(AND(DAY(DATE(M196,VALUE(MID(C196,3,2)),VALUE(MID(C196,1,2))))=VALUE(MID(C196,1,2)),MONTH(DATE(M196,VALUE(MID(C196,3,2)),VALUE(MID(C196,1,2))))=VALUE(MID(C196,3,2))),DATE(M196,VALUE(MID(C196,3,2)),VALUE(MID(C196,1,2))),"")),"")</f>
        <v/>
      </c>
    </row>
    <row r="197">
      <c r="A197" s="2" t="n"/>
      <c r="B197" s="2" t="n"/>
      <c r="C197" s="3" t="n"/>
      <c r="D197" s="2" t="n"/>
      <c r="E197" s="4">
        <f>IF(A197="","",5)</f>
        <v/>
      </c>
      <c r="F197" s="2" t="n"/>
      <c r="G197" s="4" t="n"/>
      <c r="H197" s="2" t="n"/>
      <c r="I197" s="2" t="n"/>
      <c r="J197" s="2">
        <f>IF(C197="","",IF(LEN(C197)&lt;&gt;13,"Nema 13 cifara (ima "&amp;LEN(C197)&amp;")",IF(L197="","JMBG sadrži nešto što nije cifra",IF(N197="","Nepostojeći datum rođenja",IF(VALUE(MID(C197,13,1))&lt;&gt;L197,"Pogrešna kontrolna cifra - treba "&amp;L197,"✓ ispravan")))))</f>
        <v/>
      </c>
      <c r="K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L197">
        <f>IF(K197="","",IF(11-MOD(K197,11)&gt;9,0,11-MOD(K197,11)))</f>
        <v/>
      </c>
      <c r="M197">
        <f>IFERROR(IF(LEN(C197)&lt;&gt;13,"",IF(VALUE(MID(C197,5,3))&gt;=800,1000,2000)+VALUE(MID(C197,5,3))),"")</f>
        <v/>
      </c>
      <c r="N197">
        <f>IFERROR(IF(M197="","",IF(AND(DAY(DATE(M197,VALUE(MID(C197,3,2)),VALUE(MID(C197,1,2))))=VALUE(MID(C197,1,2)),MONTH(DATE(M197,VALUE(MID(C197,3,2)),VALUE(MID(C197,1,2))))=VALUE(MID(C197,3,2))),DATE(M197,VALUE(MID(C197,3,2)),VALUE(MID(C197,1,2))),"")),"")</f>
        <v/>
      </c>
    </row>
    <row r="198">
      <c r="A198" s="2" t="n"/>
      <c r="B198" s="2" t="n"/>
      <c r="C198" s="3" t="n"/>
      <c r="D198" s="2" t="n"/>
      <c r="E198" s="4">
        <f>IF(A198="","",5)</f>
        <v/>
      </c>
      <c r="F198" s="2" t="n"/>
      <c r="G198" s="4" t="n"/>
      <c r="H198" s="2" t="n"/>
      <c r="I198" s="2" t="n"/>
      <c r="J198" s="2">
        <f>IF(C198="","",IF(LEN(C198)&lt;&gt;13,"Nema 13 cifara (ima "&amp;LEN(C198)&amp;")",IF(L198="","JMBG sadrži nešto što nije cifra",IF(N198="","Nepostojeći datum rođenja",IF(VALUE(MID(C198,13,1))&lt;&gt;L198,"Pogrešna kontrolna cifra - treba "&amp;L198,"✓ ispravan")))))</f>
        <v/>
      </c>
      <c r="K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L198">
        <f>IF(K198="","",IF(11-MOD(K198,11)&gt;9,0,11-MOD(K198,11)))</f>
        <v/>
      </c>
      <c r="M198">
        <f>IFERROR(IF(LEN(C198)&lt;&gt;13,"",IF(VALUE(MID(C198,5,3))&gt;=800,1000,2000)+VALUE(MID(C198,5,3))),"")</f>
        <v/>
      </c>
      <c r="N198">
        <f>IFERROR(IF(M198="","",IF(AND(DAY(DATE(M198,VALUE(MID(C198,3,2)),VALUE(MID(C198,1,2))))=VALUE(MID(C198,1,2)),MONTH(DATE(M198,VALUE(MID(C198,3,2)),VALUE(MID(C198,1,2))))=VALUE(MID(C198,3,2))),DATE(M198,VALUE(MID(C198,3,2)),VALUE(MID(C198,1,2))),"")),"")</f>
        <v/>
      </c>
    </row>
    <row r="199">
      <c r="A199" s="2" t="n"/>
      <c r="B199" s="2" t="n"/>
      <c r="C199" s="3" t="n"/>
      <c r="D199" s="2" t="n"/>
      <c r="E199" s="4">
        <f>IF(A199="","",5)</f>
        <v/>
      </c>
      <c r="F199" s="2" t="n"/>
      <c r="G199" s="4" t="n"/>
      <c r="H199" s="2" t="n"/>
      <c r="I199" s="2" t="n"/>
      <c r="J199" s="2">
        <f>IF(C199="","",IF(LEN(C199)&lt;&gt;13,"Nema 13 cifara (ima "&amp;LEN(C199)&amp;")",IF(L199="","JMBG sadrži nešto što nije cifra",IF(N199="","Nepostojeći datum rođenja",IF(VALUE(MID(C199,13,1))&lt;&gt;L199,"Pogrešna kontrolna cifra - treba "&amp;L199,"✓ ispravan")))))</f>
        <v/>
      </c>
      <c r="K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L199">
        <f>IF(K199="","",IF(11-MOD(K199,11)&gt;9,0,11-MOD(K199,11)))</f>
        <v/>
      </c>
      <c r="M199">
        <f>IFERROR(IF(LEN(C199)&lt;&gt;13,"",IF(VALUE(MID(C199,5,3))&gt;=800,1000,2000)+VALUE(MID(C199,5,3))),"")</f>
        <v/>
      </c>
      <c r="N199">
        <f>IFERROR(IF(M199="","",IF(AND(DAY(DATE(M199,VALUE(MID(C199,3,2)),VALUE(MID(C199,1,2))))=VALUE(MID(C199,1,2)),MONTH(DATE(M199,VALUE(MID(C199,3,2)),VALUE(MID(C199,1,2))))=VALUE(MID(C199,3,2))),DATE(M199,VALUE(MID(C199,3,2)),VALUE(MID(C199,1,2))),"")),"")</f>
        <v/>
      </c>
    </row>
    <row r="200">
      <c r="A200" s="2" t="n"/>
      <c r="B200" s="2" t="n"/>
      <c r="C200" s="3" t="n"/>
      <c r="D200" s="2" t="n"/>
      <c r="E200" s="4">
        <f>IF(A200="","",5)</f>
        <v/>
      </c>
      <c r="F200" s="2" t="n"/>
      <c r="G200" s="4" t="n"/>
      <c r="H200" s="2" t="n"/>
      <c r="I200" s="2" t="n"/>
      <c r="J200" s="2">
        <f>IF(C200="","",IF(LEN(C200)&lt;&gt;13,"Nema 13 cifara (ima "&amp;LEN(C200)&amp;")",IF(L200="","JMBG sadrži nešto što nije cifra",IF(N200="","Nepostojeći datum rođenja",IF(VALUE(MID(C200,13,1))&lt;&gt;L200,"Pogrešna kontrolna cifra - treba "&amp;L200,"✓ ispravan")))))</f>
        <v/>
      </c>
      <c r="K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L200">
        <f>IF(K200="","",IF(11-MOD(K200,11)&gt;9,0,11-MOD(K200,11)))</f>
        <v/>
      </c>
      <c r="M200">
        <f>IFERROR(IF(LEN(C200)&lt;&gt;13,"",IF(VALUE(MID(C200,5,3))&gt;=800,1000,2000)+VALUE(MID(C200,5,3))),"")</f>
        <v/>
      </c>
      <c r="N200">
        <f>IFERROR(IF(M200="","",IF(AND(DAY(DATE(M200,VALUE(MID(C200,3,2)),VALUE(MID(C200,1,2))))=VALUE(MID(C200,1,2)),MONTH(DATE(M200,VALUE(MID(C200,3,2)),VALUE(MID(C200,1,2))))=VALUE(MID(C200,3,2))),DATE(M200,VALUE(MID(C200,3,2)),VALUE(MID(C200,1,2))),"")),"")</f>
        <v/>
      </c>
    </row>
    <row r="201">
      <c r="A201" s="2" t="n"/>
      <c r="B201" s="2" t="n"/>
      <c r="C201" s="3" t="n"/>
      <c r="D201" s="2" t="n"/>
      <c r="E201" s="4">
        <f>IF(A201="","",5)</f>
        <v/>
      </c>
      <c r="F201" s="2" t="n"/>
      <c r="G201" s="4" t="n"/>
      <c r="H201" s="2" t="n"/>
      <c r="I201" s="2" t="n"/>
      <c r="J201" s="2">
        <f>IF(C201="","",IF(LEN(C201)&lt;&gt;13,"Nema 13 cifara (ima "&amp;LEN(C201)&amp;")",IF(L201="","JMBG sadrži nešto što nije cifra",IF(N201="","Nepostojeći datum rođenja",IF(VALUE(MID(C201,13,1))&lt;&gt;L201,"Pogrešna kontrolna cifra - treba "&amp;L201,"✓ ispravan")))))</f>
        <v/>
      </c>
      <c r="K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L201">
        <f>IF(K201="","",IF(11-MOD(K201,11)&gt;9,0,11-MOD(K201,11)))</f>
        <v/>
      </c>
      <c r="M201">
        <f>IFERROR(IF(LEN(C201)&lt;&gt;13,"",IF(VALUE(MID(C201,5,3))&gt;=800,1000,2000)+VALUE(MID(C201,5,3))),"")</f>
        <v/>
      </c>
      <c r="N201">
        <f>IFERROR(IF(M201="","",IF(AND(DAY(DATE(M201,VALUE(MID(C201,3,2)),VALUE(MID(C201,1,2))))=VALUE(MID(C201,1,2)),MONTH(DATE(M201,VALUE(MID(C201,3,2)),VALUE(MID(C201,1,2))))=VALUE(MID(C201,3,2))),DATE(M201,VALUE(MID(C201,3,2)),VALUE(MID(C201,1,2))),"")),"")</f>
        <v/>
      </c>
    </row>
  </sheetData>
  <autoFilter ref="A1:J201"/>
  <conditionalFormatting sqref="J2:J201">
    <cfRule type="expression" priority="1" dxfId="0" stopIfTrue="1">
      <formula>LEFT($J2,1)="✓"</formula>
    </cfRule>
    <cfRule type="expression" priority="2" dxfId="1">
      <formula>$J2&lt;&gt;""</formula>
    </cfRule>
  </conditionalFormatting>
  <conditionalFormatting sqref="G2:G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F201">
    <cfRule type="expression" priority="7" dxfId="3">
      <formula>$G2="GREŠKA"</formula>
    </cfRule>
    <cfRule type="expression" priority="8" dxfId="2">
      <formula>$G2="OK"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8" customWidth="1" min="11" max="14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Dolazak</t>
        </is>
      </c>
      <c r="E1" s="1" t="inlineStr">
        <is>
          <t>Dana</t>
        </is>
      </c>
      <c r="F1" s="1" t="inlineStr">
        <is>
          <t>E-mail</t>
        </is>
      </c>
      <c r="G1" s="1" t="inlineStr">
        <is>
          <t>STATUS</t>
        </is>
      </c>
      <c r="H1" s="1" t="inlineStr">
        <is>
          <t>RAZLOG</t>
        </is>
      </c>
      <c r="I1" s="1" t="inlineStr">
        <is>
          <t>PDF</t>
        </is>
      </c>
      <c r="J1" s="1" t="inlineStr">
        <is>
          <t>PROVERA JMBG</t>
        </is>
      </c>
      <c r="K1" s="1" t="inlineStr">
        <is>
          <t>zbir</t>
        </is>
      </c>
      <c r="L1" s="1" t="inlineStr">
        <is>
          <t>kontrolna</t>
        </is>
      </c>
      <c r="M1" s="1" t="inlineStr">
        <is>
          <t>godina</t>
        </is>
      </c>
      <c r="N1" s="1" t="inlineStr">
        <is>
          <t>dat.rođ.</t>
        </is>
      </c>
    </row>
    <row r="2">
      <c r="A2" s="2" t="n"/>
      <c r="B2" s="2" t="n"/>
      <c r="C2" s="3" t="n"/>
      <c r="D2" s="2" t="n"/>
      <c r="E2" s="4">
        <f>IF(A2="","",5)</f>
        <v/>
      </c>
      <c r="F2" s="2" t="n"/>
      <c r="G2" s="4" t="n"/>
      <c r="H2" s="2" t="n"/>
      <c r="I2" s="2" t="n"/>
      <c r="J2" s="2">
        <f>IF(C2="","",IF(LEN(C2)&lt;&gt;13,"Nema 13 cifara (ima "&amp;LEN(C2)&amp;")",IF(L2="","JMBG sadrži nešto što nije cifra",IF(N2="","Nepostojeći datum rođenja",IF(VALUE(MID(C2,13,1))&lt;&gt;L2,"Pogrešna kontrolna cifra - treba "&amp;L2,"✓ ispravan")))))</f>
        <v/>
      </c>
      <c r="K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L2">
        <f>IF(K2="","",IF(11-MOD(K2,11)&gt;9,0,11-MOD(K2,11)))</f>
        <v/>
      </c>
      <c r="M2">
        <f>IFERROR(IF(LEN(C2)&lt;&gt;13,"",IF(VALUE(MID(C2,5,3))&gt;=800,1000,2000)+VALUE(MID(C2,5,3))),"")</f>
        <v/>
      </c>
      <c r="N2">
        <f>IFERROR(IF(M2="","",IF(AND(DAY(DATE(M2,VALUE(MID(C2,3,2)),VALUE(MID(C2,1,2))))=VALUE(MID(C2,1,2)),MONTH(DATE(M2,VALUE(MID(C2,3,2)),VALUE(MID(C2,1,2))))=VALUE(MID(C2,3,2))),DATE(M2,VALUE(MID(C2,3,2)),VALUE(MID(C2,1,2))),"")),"")</f>
        <v/>
      </c>
    </row>
    <row r="3">
      <c r="A3" s="2" t="n"/>
      <c r="B3" s="2" t="n"/>
      <c r="C3" s="3" t="n"/>
      <c r="D3" s="2" t="n"/>
      <c r="E3" s="4">
        <f>IF(A3="","",5)</f>
        <v/>
      </c>
      <c r="F3" s="2" t="n"/>
      <c r="G3" s="4" t="n"/>
      <c r="H3" s="2" t="n"/>
      <c r="I3" s="2" t="n"/>
      <c r="J3" s="2">
        <f>IF(C3="","",IF(LEN(C3)&lt;&gt;13,"Nema 13 cifara (ima "&amp;LEN(C3)&amp;")",IF(L3="","JMBG sadrži nešto što nije cifra",IF(N3="","Nepostojeći datum rođenja",IF(VALUE(MID(C3,13,1))&lt;&gt;L3,"Pogrešna kontrolna cifra - treba "&amp;L3,"✓ ispravan")))))</f>
        <v/>
      </c>
      <c r="K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L3">
        <f>IF(K3="","",IF(11-MOD(K3,11)&gt;9,0,11-MOD(K3,11)))</f>
        <v/>
      </c>
      <c r="M3">
        <f>IFERROR(IF(LEN(C3)&lt;&gt;13,"",IF(VALUE(MID(C3,5,3))&gt;=800,1000,2000)+VALUE(MID(C3,5,3))),"")</f>
        <v/>
      </c>
      <c r="N3">
        <f>IFERROR(IF(M3="","",IF(AND(DAY(DATE(M3,VALUE(MID(C3,3,2)),VALUE(MID(C3,1,2))))=VALUE(MID(C3,1,2)),MONTH(DATE(M3,VALUE(MID(C3,3,2)),VALUE(MID(C3,1,2))))=VALUE(MID(C3,3,2))),DATE(M3,VALUE(MID(C3,3,2)),VALUE(MID(C3,1,2))),"")),"")</f>
        <v/>
      </c>
    </row>
    <row r="4">
      <c r="A4" s="2" t="n"/>
      <c r="B4" s="2" t="n"/>
      <c r="C4" s="3" t="n"/>
      <c r="D4" s="2" t="n"/>
      <c r="E4" s="4">
        <f>IF(A4="","",5)</f>
        <v/>
      </c>
      <c r="F4" s="2" t="n"/>
      <c r="G4" s="4" t="n"/>
      <c r="H4" s="2" t="n"/>
      <c r="I4" s="2" t="n"/>
      <c r="J4" s="2">
        <f>IF(C4="","",IF(LEN(C4)&lt;&gt;13,"Nema 13 cifara (ima "&amp;LEN(C4)&amp;")",IF(L4="","JMBG sadrži nešto što nije cifra",IF(N4="","Nepostojeći datum rođenja",IF(VALUE(MID(C4,13,1))&lt;&gt;L4,"Pogrešna kontrolna cifra - treba "&amp;L4,"✓ ispravan")))))</f>
        <v/>
      </c>
      <c r="K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L4">
        <f>IF(K4="","",IF(11-MOD(K4,11)&gt;9,0,11-MOD(K4,11)))</f>
        <v/>
      </c>
      <c r="M4">
        <f>IFERROR(IF(LEN(C4)&lt;&gt;13,"",IF(VALUE(MID(C4,5,3))&gt;=800,1000,2000)+VALUE(MID(C4,5,3))),"")</f>
        <v/>
      </c>
      <c r="N4">
        <f>IFERROR(IF(M4="","",IF(AND(DAY(DATE(M4,VALUE(MID(C4,3,2)),VALUE(MID(C4,1,2))))=VALUE(MID(C4,1,2)),MONTH(DATE(M4,VALUE(MID(C4,3,2)),VALUE(MID(C4,1,2))))=VALUE(MID(C4,3,2))),DATE(M4,VALUE(MID(C4,3,2)),VALUE(MID(C4,1,2))),"")),"")</f>
        <v/>
      </c>
    </row>
    <row r="5">
      <c r="A5" s="2" t="n"/>
      <c r="B5" s="2" t="n"/>
      <c r="C5" s="3" t="n"/>
      <c r="D5" s="2" t="n"/>
      <c r="E5" s="4">
        <f>IF(A5="","",5)</f>
        <v/>
      </c>
      <c r="F5" s="2" t="n"/>
      <c r="G5" s="4" t="n"/>
      <c r="H5" s="2" t="n"/>
      <c r="I5" s="2" t="n"/>
      <c r="J5" s="2">
        <f>IF(C5="","",IF(LEN(C5)&lt;&gt;13,"Nema 13 cifara (ima "&amp;LEN(C5)&amp;")",IF(L5="","JMBG sadrži nešto što nije cifra",IF(N5="","Nepostojeći datum rođenja",IF(VALUE(MID(C5,13,1))&lt;&gt;L5,"Pogrešna kontrolna cifra - treba "&amp;L5,"✓ ispravan")))))</f>
        <v/>
      </c>
      <c r="K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L5">
        <f>IF(K5="","",IF(11-MOD(K5,11)&gt;9,0,11-MOD(K5,11)))</f>
        <v/>
      </c>
      <c r="M5">
        <f>IFERROR(IF(LEN(C5)&lt;&gt;13,"",IF(VALUE(MID(C5,5,3))&gt;=800,1000,2000)+VALUE(MID(C5,5,3))),"")</f>
        <v/>
      </c>
      <c r="N5">
        <f>IFERROR(IF(M5="","",IF(AND(DAY(DATE(M5,VALUE(MID(C5,3,2)),VALUE(MID(C5,1,2))))=VALUE(MID(C5,1,2)),MONTH(DATE(M5,VALUE(MID(C5,3,2)),VALUE(MID(C5,1,2))))=VALUE(MID(C5,3,2))),DATE(M5,VALUE(MID(C5,3,2)),VALUE(MID(C5,1,2))),"")),"")</f>
        <v/>
      </c>
    </row>
    <row r="6">
      <c r="A6" s="2" t="n"/>
      <c r="B6" s="2" t="n"/>
      <c r="C6" s="3" t="n"/>
      <c r="D6" s="2" t="n"/>
      <c r="E6" s="4">
        <f>IF(A6="","",5)</f>
        <v/>
      </c>
      <c r="F6" s="2" t="n"/>
      <c r="G6" s="4" t="n"/>
      <c r="H6" s="2" t="n"/>
      <c r="I6" s="2" t="n"/>
      <c r="J6" s="2">
        <f>IF(C6="","",IF(LEN(C6)&lt;&gt;13,"Nema 13 cifara (ima "&amp;LEN(C6)&amp;")",IF(L6="","JMBG sadrži nešto što nije cifra",IF(N6="","Nepostojeći datum rođenja",IF(VALUE(MID(C6,13,1))&lt;&gt;L6,"Pogrešna kontrolna cifra - treba "&amp;L6,"✓ ispravan")))))</f>
        <v/>
      </c>
      <c r="K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L6">
        <f>IF(K6="","",IF(11-MOD(K6,11)&gt;9,0,11-MOD(K6,11)))</f>
        <v/>
      </c>
      <c r="M6">
        <f>IFERROR(IF(LEN(C6)&lt;&gt;13,"",IF(VALUE(MID(C6,5,3))&gt;=800,1000,2000)+VALUE(MID(C6,5,3))),"")</f>
        <v/>
      </c>
      <c r="N6">
        <f>IFERROR(IF(M6="","",IF(AND(DAY(DATE(M6,VALUE(MID(C6,3,2)),VALUE(MID(C6,1,2))))=VALUE(MID(C6,1,2)),MONTH(DATE(M6,VALUE(MID(C6,3,2)),VALUE(MID(C6,1,2))))=VALUE(MID(C6,3,2))),DATE(M6,VALUE(MID(C6,3,2)),VALUE(MID(C6,1,2))),"")),"")</f>
        <v/>
      </c>
    </row>
    <row r="7">
      <c r="A7" s="2" t="n"/>
      <c r="B7" s="2" t="n"/>
      <c r="C7" s="3" t="n"/>
      <c r="D7" s="2" t="n"/>
      <c r="E7" s="4">
        <f>IF(A7="","",5)</f>
        <v/>
      </c>
      <c r="F7" s="2" t="n"/>
      <c r="G7" s="4" t="n"/>
      <c r="H7" s="2" t="n"/>
      <c r="I7" s="2" t="n"/>
      <c r="J7" s="2">
        <f>IF(C7="","",IF(LEN(C7)&lt;&gt;13,"Nema 13 cifara (ima "&amp;LEN(C7)&amp;")",IF(L7="","JMBG sadrži nešto što nije cifra",IF(N7="","Nepostojeći datum rođenja",IF(VALUE(MID(C7,13,1))&lt;&gt;L7,"Pogrešna kontrolna cifra - treba "&amp;L7,"✓ ispravan")))))</f>
        <v/>
      </c>
      <c r="K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L7">
        <f>IF(K7="","",IF(11-MOD(K7,11)&gt;9,0,11-MOD(K7,11)))</f>
        <v/>
      </c>
      <c r="M7">
        <f>IFERROR(IF(LEN(C7)&lt;&gt;13,"",IF(VALUE(MID(C7,5,3))&gt;=800,1000,2000)+VALUE(MID(C7,5,3))),"")</f>
        <v/>
      </c>
      <c r="N7">
        <f>IFERROR(IF(M7="","",IF(AND(DAY(DATE(M7,VALUE(MID(C7,3,2)),VALUE(MID(C7,1,2))))=VALUE(MID(C7,1,2)),MONTH(DATE(M7,VALUE(MID(C7,3,2)),VALUE(MID(C7,1,2))))=VALUE(MID(C7,3,2))),DATE(M7,VALUE(MID(C7,3,2)),VALUE(MID(C7,1,2))),"")),"")</f>
        <v/>
      </c>
    </row>
    <row r="8">
      <c r="A8" s="2" t="n"/>
      <c r="B8" s="2" t="n"/>
      <c r="C8" s="3" t="n"/>
      <c r="D8" s="2" t="n"/>
      <c r="E8" s="4">
        <f>IF(A8="","",5)</f>
        <v/>
      </c>
      <c r="F8" s="2" t="n"/>
      <c r="G8" s="4" t="n"/>
      <c r="H8" s="2" t="n"/>
      <c r="I8" s="2" t="n"/>
      <c r="J8" s="2">
        <f>IF(C8="","",IF(LEN(C8)&lt;&gt;13,"Nema 13 cifara (ima "&amp;LEN(C8)&amp;")",IF(L8="","JMBG sadrži nešto što nije cifra",IF(N8="","Nepostojeći datum rođenja",IF(VALUE(MID(C8,13,1))&lt;&gt;L8,"Pogrešna kontrolna cifra - treba "&amp;L8,"✓ ispravan")))))</f>
        <v/>
      </c>
      <c r="K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L8">
        <f>IF(K8="","",IF(11-MOD(K8,11)&gt;9,0,11-MOD(K8,11)))</f>
        <v/>
      </c>
      <c r="M8">
        <f>IFERROR(IF(LEN(C8)&lt;&gt;13,"",IF(VALUE(MID(C8,5,3))&gt;=800,1000,2000)+VALUE(MID(C8,5,3))),"")</f>
        <v/>
      </c>
      <c r="N8">
        <f>IFERROR(IF(M8="","",IF(AND(DAY(DATE(M8,VALUE(MID(C8,3,2)),VALUE(MID(C8,1,2))))=VALUE(MID(C8,1,2)),MONTH(DATE(M8,VALUE(MID(C8,3,2)),VALUE(MID(C8,1,2))))=VALUE(MID(C8,3,2))),DATE(M8,VALUE(MID(C8,3,2)),VALUE(MID(C8,1,2))),"")),"")</f>
        <v/>
      </c>
    </row>
    <row r="9">
      <c r="A9" s="2" t="n"/>
      <c r="B9" s="2" t="n"/>
      <c r="C9" s="3" t="n"/>
      <c r="D9" s="2" t="n"/>
      <c r="E9" s="4">
        <f>IF(A9="","",5)</f>
        <v/>
      </c>
      <c r="F9" s="2" t="n"/>
      <c r="G9" s="4" t="n"/>
      <c r="H9" s="2" t="n"/>
      <c r="I9" s="2" t="n"/>
      <c r="J9" s="2">
        <f>IF(C9="","",IF(LEN(C9)&lt;&gt;13,"Nema 13 cifara (ima "&amp;LEN(C9)&amp;")",IF(L9="","JMBG sadrži nešto što nije cifra",IF(N9="","Nepostojeći datum rođenja",IF(VALUE(MID(C9,13,1))&lt;&gt;L9,"Pogrešna kontrolna cifra - treba "&amp;L9,"✓ ispravan")))))</f>
        <v/>
      </c>
      <c r="K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L9">
        <f>IF(K9="","",IF(11-MOD(K9,11)&gt;9,0,11-MOD(K9,11)))</f>
        <v/>
      </c>
      <c r="M9">
        <f>IFERROR(IF(LEN(C9)&lt;&gt;13,"",IF(VALUE(MID(C9,5,3))&gt;=800,1000,2000)+VALUE(MID(C9,5,3))),"")</f>
        <v/>
      </c>
      <c r="N9">
        <f>IFERROR(IF(M9="","",IF(AND(DAY(DATE(M9,VALUE(MID(C9,3,2)),VALUE(MID(C9,1,2))))=VALUE(MID(C9,1,2)),MONTH(DATE(M9,VALUE(MID(C9,3,2)),VALUE(MID(C9,1,2))))=VALUE(MID(C9,3,2))),DATE(M9,VALUE(MID(C9,3,2)),VALUE(MID(C9,1,2))),"")),"")</f>
        <v/>
      </c>
    </row>
    <row r="10">
      <c r="A10" s="2" t="n"/>
      <c r="B10" s="2" t="n"/>
      <c r="C10" s="3" t="n"/>
      <c r="D10" s="2" t="n"/>
      <c r="E10" s="4">
        <f>IF(A10="","",5)</f>
        <v/>
      </c>
      <c r="F10" s="2" t="n"/>
      <c r="G10" s="4" t="n"/>
      <c r="H10" s="2" t="n"/>
      <c r="I10" s="2" t="n"/>
      <c r="J10" s="2">
        <f>IF(C10="","",IF(LEN(C10)&lt;&gt;13,"Nema 13 cifara (ima "&amp;LEN(C10)&amp;")",IF(L10="","JMBG sadrži nešto što nije cifra",IF(N10="","Nepostojeći datum rođenja",IF(VALUE(MID(C10,13,1))&lt;&gt;L10,"Pogrešna kontrolna cifra - treba "&amp;L10,"✓ ispravan")))))</f>
        <v/>
      </c>
      <c r="K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L10">
        <f>IF(K10="","",IF(11-MOD(K10,11)&gt;9,0,11-MOD(K10,11)))</f>
        <v/>
      </c>
      <c r="M10">
        <f>IFERROR(IF(LEN(C10)&lt;&gt;13,"",IF(VALUE(MID(C10,5,3))&gt;=800,1000,2000)+VALUE(MID(C10,5,3))),"")</f>
        <v/>
      </c>
      <c r="N10">
        <f>IFERROR(IF(M10="","",IF(AND(DAY(DATE(M10,VALUE(MID(C10,3,2)),VALUE(MID(C10,1,2))))=VALUE(MID(C10,1,2)),MONTH(DATE(M10,VALUE(MID(C10,3,2)),VALUE(MID(C10,1,2))))=VALUE(MID(C10,3,2))),DATE(M10,VALUE(MID(C10,3,2)),VALUE(MID(C10,1,2))),"")),"")</f>
        <v/>
      </c>
    </row>
    <row r="11">
      <c r="A11" s="2" t="n"/>
      <c r="B11" s="2" t="n"/>
      <c r="C11" s="3" t="n"/>
      <c r="D11" s="2" t="n"/>
      <c r="E11" s="4">
        <f>IF(A11="","",5)</f>
        <v/>
      </c>
      <c r="F11" s="2" t="n"/>
      <c r="G11" s="4" t="n"/>
      <c r="H11" s="2" t="n"/>
      <c r="I11" s="2" t="n"/>
      <c r="J11" s="2">
        <f>IF(C11="","",IF(LEN(C11)&lt;&gt;13,"Nema 13 cifara (ima "&amp;LEN(C11)&amp;")",IF(L11="","JMBG sadrži nešto što nije cifra",IF(N11="","Nepostojeći datum rođenja",IF(VALUE(MID(C11,13,1))&lt;&gt;L11,"Pogrešna kontrolna cifra - treba "&amp;L11,"✓ ispravan")))))</f>
        <v/>
      </c>
      <c r="K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L11">
        <f>IF(K11="","",IF(11-MOD(K11,11)&gt;9,0,11-MOD(K11,11)))</f>
        <v/>
      </c>
      <c r="M11">
        <f>IFERROR(IF(LEN(C11)&lt;&gt;13,"",IF(VALUE(MID(C11,5,3))&gt;=800,1000,2000)+VALUE(MID(C11,5,3))),"")</f>
        <v/>
      </c>
      <c r="N11">
        <f>IFERROR(IF(M11="","",IF(AND(DAY(DATE(M11,VALUE(MID(C11,3,2)),VALUE(MID(C11,1,2))))=VALUE(MID(C11,1,2)),MONTH(DATE(M11,VALUE(MID(C11,3,2)),VALUE(MID(C11,1,2))))=VALUE(MID(C11,3,2))),DATE(M11,VALUE(MID(C11,3,2)),VALUE(MID(C11,1,2))),"")),"")</f>
        <v/>
      </c>
    </row>
    <row r="12">
      <c r="A12" s="2" t="n"/>
      <c r="B12" s="2" t="n"/>
      <c r="C12" s="3" t="n"/>
      <c r="D12" s="2" t="n"/>
      <c r="E12" s="4">
        <f>IF(A12="","",5)</f>
        <v/>
      </c>
      <c r="F12" s="2" t="n"/>
      <c r="G12" s="4" t="n"/>
      <c r="H12" s="2" t="n"/>
      <c r="I12" s="2" t="n"/>
      <c r="J12" s="2">
        <f>IF(C12="","",IF(LEN(C12)&lt;&gt;13,"Nema 13 cifara (ima "&amp;LEN(C12)&amp;")",IF(L12="","JMBG sadrži nešto što nije cifra",IF(N12="","Nepostojeći datum rođenja",IF(VALUE(MID(C12,13,1))&lt;&gt;L12,"Pogrešna kontrolna cifra - treba "&amp;L12,"✓ ispravan")))))</f>
        <v/>
      </c>
      <c r="K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L12">
        <f>IF(K12="","",IF(11-MOD(K12,11)&gt;9,0,11-MOD(K12,11)))</f>
        <v/>
      </c>
      <c r="M12">
        <f>IFERROR(IF(LEN(C12)&lt;&gt;13,"",IF(VALUE(MID(C12,5,3))&gt;=800,1000,2000)+VALUE(MID(C12,5,3))),"")</f>
        <v/>
      </c>
      <c r="N12">
        <f>IFERROR(IF(M12="","",IF(AND(DAY(DATE(M12,VALUE(MID(C12,3,2)),VALUE(MID(C12,1,2))))=VALUE(MID(C12,1,2)),MONTH(DATE(M12,VALUE(MID(C12,3,2)),VALUE(MID(C12,1,2))))=VALUE(MID(C12,3,2))),DATE(M12,VALUE(MID(C12,3,2)),VALUE(MID(C12,1,2))),"")),"")</f>
        <v/>
      </c>
    </row>
    <row r="13">
      <c r="A13" s="2" t="n"/>
      <c r="B13" s="2" t="n"/>
      <c r="C13" s="3" t="n"/>
      <c r="D13" s="2" t="n"/>
      <c r="E13" s="4">
        <f>IF(A13="","",5)</f>
        <v/>
      </c>
      <c r="F13" s="2" t="n"/>
      <c r="G13" s="4" t="n"/>
      <c r="H13" s="2" t="n"/>
      <c r="I13" s="2" t="n"/>
      <c r="J13" s="2">
        <f>IF(C13="","",IF(LEN(C13)&lt;&gt;13,"Nema 13 cifara (ima "&amp;LEN(C13)&amp;")",IF(L13="","JMBG sadrži nešto što nije cifra",IF(N13="","Nepostojeći datum rođenja",IF(VALUE(MID(C13,13,1))&lt;&gt;L13,"Pogrešna kontrolna cifra - treba "&amp;L13,"✓ ispravan")))))</f>
        <v/>
      </c>
      <c r="K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L13">
        <f>IF(K13="","",IF(11-MOD(K13,11)&gt;9,0,11-MOD(K13,11)))</f>
        <v/>
      </c>
      <c r="M13">
        <f>IFERROR(IF(LEN(C13)&lt;&gt;13,"",IF(VALUE(MID(C13,5,3))&gt;=800,1000,2000)+VALUE(MID(C13,5,3))),"")</f>
        <v/>
      </c>
      <c r="N13">
        <f>IFERROR(IF(M13="","",IF(AND(DAY(DATE(M13,VALUE(MID(C13,3,2)),VALUE(MID(C13,1,2))))=VALUE(MID(C13,1,2)),MONTH(DATE(M13,VALUE(MID(C13,3,2)),VALUE(MID(C13,1,2))))=VALUE(MID(C13,3,2))),DATE(M13,VALUE(MID(C13,3,2)),VALUE(MID(C13,1,2))),"")),"")</f>
        <v/>
      </c>
    </row>
    <row r="14">
      <c r="A14" s="2" t="n"/>
      <c r="B14" s="2" t="n"/>
      <c r="C14" s="3" t="n"/>
      <c r="D14" s="2" t="n"/>
      <c r="E14" s="4">
        <f>IF(A14="","",5)</f>
        <v/>
      </c>
      <c r="F14" s="2" t="n"/>
      <c r="G14" s="4" t="n"/>
      <c r="H14" s="2" t="n"/>
      <c r="I14" s="2" t="n"/>
      <c r="J14" s="2">
        <f>IF(C14="","",IF(LEN(C14)&lt;&gt;13,"Nema 13 cifara (ima "&amp;LEN(C14)&amp;")",IF(L14="","JMBG sadrži nešto što nije cifra",IF(N14="","Nepostojeći datum rođenja",IF(VALUE(MID(C14,13,1))&lt;&gt;L14,"Pogrešna kontrolna cifra - treba "&amp;L14,"✓ ispravan")))))</f>
        <v/>
      </c>
      <c r="K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L14">
        <f>IF(K14="","",IF(11-MOD(K14,11)&gt;9,0,11-MOD(K14,11)))</f>
        <v/>
      </c>
      <c r="M14">
        <f>IFERROR(IF(LEN(C14)&lt;&gt;13,"",IF(VALUE(MID(C14,5,3))&gt;=800,1000,2000)+VALUE(MID(C14,5,3))),"")</f>
        <v/>
      </c>
      <c r="N14">
        <f>IFERROR(IF(M14="","",IF(AND(DAY(DATE(M14,VALUE(MID(C14,3,2)),VALUE(MID(C14,1,2))))=VALUE(MID(C14,1,2)),MONTH(DATE(M14,VALUE(MID(C14,3,2)),VALUE(MID(C14,1,2))))=VALUE(MID(C14,3,2))),DATE(M14,VALUE(MID(C14,3,2)),VALUE(MID(C14,1,2))),"")),"")</f>
        <v/>
      </c>
    </row>
    <row r="15">
      <c r="A15" s="2" t="n"/>
      <c r="B15" s="2" t="n"/>
      <c r="C15" s="3" t="n"/>
      <c r="D15" s="2" t="n"/>
      <c r="E15" s="4">
        <f>IF(A15="","",5)</f>
        <v/>
      </c>
      <c r="F15" s="2" t="n"/>
      <c r="G15" s="4" t="n"/>
      <c r="H15" s="2" t="n"/>
      <c r="I15" s="2" t="n"/>
      <c r="J15" s="2">
        <f>IF(C15="","",IF(LEN(C15)&lt;&gt;13,"Nema 13 cifara (ima "&amp;LEN(C15)&amp;")",IF(L15="","JMBG sadrži nešto što nije cifra",IF(N15="","Nepostojeći datum rođenja",IF(VALUE(MID(C15,13,1))&lt;&gt;L15,"Pogrešna kontrolna cifra - treba "&amp;L15,"✓ ispravan")))))</f>
        <v/>
      </c>
      <c r="K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L15">
        <f>IF(K15="","",IF(11-MOD(K15,11)&gt;9,0,11-MOD(K15,11)))</f>
        <v/>
      </c>
      <c r="M15">
        <f>IFERROR(IF(LEN(C15)&lt;&gt;13,"",IF(VALUE(MID(C15,5,3))&gt;=800,1000,2000)+VALUE(MID(C15,5,3))),"")</f>
        <v/>
      </c>
      <c r="N15">
        <f>IFERROR(IF(M15="","",IF(AND(DAY(DATE(M15,VALUE(MID(C15,3,2)),VALUE(MID(C15,1,2))))=VALUE(MID(C15,1,2)),MONTH(DATE(M15,VALUE(MID(C15,3,2)),VALUE(MID(C15,1,2))))=VALUE(MID(C15,3,2))),DATE(M15,VALUE(MID(C15,3,2)),VALUE(MID(C15,1,2))),"")),"")</f>
        <v/>
      </c>
    </row>
    <row r="16">
      <c r="A16" s="2" t="n"/>
      <c r="B16" s="2" t="n"/>
      <c r="C16" s="3" t="n"/>
      <c r="D16" s="2" t="n"/>
      <c r="E16" s="4">
        <f>IF(A16="","",5)</f>
        <v/>
      </c>
      <c r="F16" s="2" t="n"/>
      <c r="G16" s="4" t="n"/>
      <c r="H16" s="2" t="n"/>
      <c r="I16" s="2" t="n"/>
      <c r="J16" s="2">
        <f>IF(C16="","",IF(LEN(C16)&lt;&gt;13,"Nema 13 cifara (ima "&amp;LEN(C16)&amp;")",IF(L16="","JMBG sadrži nešto što nije cifra",IF(N16="","Nepostojeći datum rođenja",IF(VALUE(MID(C16,13,1))&lt;&gt;L16,"Pogrešna kontrolna cifra - treba "&amp;L16,"✓ ispravan")))))</f>
        <v/>
      </c>
      <c r="K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L16">
        <f>IF(K16="","",IF(11-MOD(K16,11)&gt;9,0,11-MOD(K16,11)))</f>
        <v/>
      </c>
      <c r="M16">
        <f>IFERROR(IF(LEN(C16)&lt;&gt;13,"",IF(VALUE(MID(C16,5,3))&gt;=800,1000,2000)+VALUE(MID(C16,5,3))),"")</f>
        <v/>
      </c>
      <c r="N16">
        <f>IFERROR(IF(M16="","",IF(AND(DAY(DATE(M16,VALUE(MID(C16,3,2)),VALUE(MID(C16,1,2))))=VALUE(MID(C16,1,2)),MONTH(DATE(M16,VALUE(MID(C16,3,2)),VALUE(MID(C16,1,2))))=VALUE(MID(C16,3,2))),DATE(M16,VALUE(MID(C16,3,2)),VALUE(MID(C16,1,2))),"")),"")</f>
        <v/>
      </c>
    </row>
    <row r="17">
      <c r="A17" s="2" t="n"/>
      <c r="B17" s="2" t="n"/>
      <c r="C17" s="3" t="n"/>
      <c r="D17" s="2" t="n"/>
      <c r="E17" s="4">
        <f>IF(A17="","",5)</f>
        <v/>
      </c>
      <c r="F17" s="2" t="n"/>
      <c r="G17" s="4" t="n"/>
      <c r="H17" s="2" t="n"/>
      <c r="I17" s="2" t="n"/>
      <c r="J17" s="2">
        <f>IF(C17="","",IF(LEN(C17)&lt;&gt;13,"Nema 13 cifara (ima "&amp;LEN(C17)&amp;")",IF(L17="","JMBG sadrži nešto što nije cifra",IF(N17="","Nepostojeći datum rođenja",IF(VALUE(MID(C17,13,1))&lt;&gt;L17,"Pogrešna kontrolna cifra - treba "&amp;L17,"✓ ispravan")))))</f>
        <v/>
      </c>
      <c r="K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L17">
        <f>IF(K17="","",IF(11-MOD(K17,11)&gt;9,0,11-MOD(K17,11)))</f>
        <v/>
      </c>
      <c r="M17">
        <f>IFERROR(IF(LEN(C17)&lt;&gt;13,"",IF(VALUE(MID(C17,5,3))&gt;=800,1000,2000)+VALUE(MID(C17,5,3))),"")</f>
        <v/>
      </c>
      <c r="N17">
        <f>IFERROR(IF(M17="","",IF(AND(DAY(DATE(M17,VALUE(MID(C17,3,2)),VALUE(MID(C17,1,2))))=VALUE(MID(C17,1,2)),MONTH(DATE(M17,VALUE(MID(C17,3,2)),VALUE(MID(C17,1,2))))=VALUE(MID(C17,3,2))),DATE(M17,VALUE(MID(C17,3,2)),VALUE(MID(C17,1,2))),"")),"")</f>
        <v/>
      </c>
    </row>
    <row r="18">
      <c r="A18" s="2" t="n"/>
      <c r="B18" s="2" t="n"/>
      <c r="C18" s="3" t="n"/>
      <c r="D18" s="2" t="n"/>
      <c r="E18" s="4">
        <f>IF(A18="","",5)</f>
        <v/>
      </c>
      <c r="F18" s="2" t="n"/>
      <c r="G18" s="4" t="n"/>
      <c r="H18" s="2" t="n"/>
      <c r="I18" s="2" t="n"/>
      <c r="J18" s="2">
        <f>IF(C18="","",IF(LEN(C18)&lt;&gt;13,"Nema 13 cifara (ima "&amp;LEN(C18)&amp;")",IF(L18="","JMBG sadrži nešto što nije cifra",IF(N18="","Nepostojeći datum rođenja",IF(VALUE(MID(C18,13,1))&lt;&gt;L18,"Pogrešna kontrolna cifra - treba "&amp;L18,"✓ ispravan")))))</f>
        <v/>
      </c>
      <c r="K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L18">
        <f>IF(K18="","",IF(11-MOD(K18,11)&gt;9,0,11-MOD(K18,11)))</f>
        <v/>
      </c>
      <c r="M18">
        <f>IFERROR(IF(LEN(C18)&lt;&gt;13,"",IF(VALUE(MID(C18,5,3))&gt;=800,1000,2000)+VALUE(MID(C18,5,3))),"")</f>
        <v/>
      </c>
      <c r="N18">
        <f>IFERROR(IF(M18="","",IF(AND(DAY(DATE(M18,VALUE(MID(C18,3,2)),VALUE(MID(C18,1,2))))=VALUE(MID(C18,1,2)),MONTH(DATE(M18,VALUE(MID(C18,3,2)),VALUE(MID(C18,1,2))))=VALUE(MID(C18,3,2))),DATE(M18,VALUE(MID(C18,3,2)),VALUE(MID(C18,1,2))),"")),"")</f>
        <v/>
      </c>
    </row>
    <row r="19">
      <c r="A19" s="2" t="n"/>
      <c r="B19" s="2" t="n"/>
      <c r="C19" s="3" t="n"/>
      <c r="D19" s="2" t="n"/>
      <c r="E19" s="4">
        <f>IF(A19="","",5)</f>
        <v/>
      </c>
      <c r="F19" s="2" t="n"/>
      <c r="G19" s="4" t="n"/>
      <c r="H19" s="2" t="n"/>
      <c r="I19" s="2" t="n"/>
      <c r="J19" s="2">
        <f>IF(C19="","",IF(LEN(C19)&lt;&gt;13,"Nema 13 cifara (ima "&amp;LEN(C19)&amp;")",IF(L19="","JMBG sadrži nešto što nije cifra",IF(N19="","Nepostojeći datum rođenja",IF(VALUE(MID(C19,13,1))&lt;&gt;L19,"Pogrešna kontrolna cifra - treba "&amp;L19,"✓ ispravan")))))</f>
        <v/>
      </c>
      <c r="K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L19">
        <f>IF(K19="","",IF(11-MOD(K19,11)&gt;9,0,11-MOD(K19,11)))</f>
        <v/>
      </c>
      <c r="M19">
        <f>IFERROR(IF(LEN(C19)&lt;&gt;13,"",IF(VALUE(MID(C19,5,3))&gt;=800,1000,2000)+VALUE(MID(C19,5,3))),"")</f>
        <v/>
      </c>
      <c r="N19">
        <f>IFERROR(IF(M19="","",IF(AND(DAY(DATE(M19,VALUE(MID(C19,3,2)),VALUE(MID(C19,1,2))))=VALUE(MID(C19,1,2)),MONTH(DATE(M19,VALUE(MID(C19,3,2)),VALUE(MID(C19,1,2))))=VALUE(MID(C19,3,2))),DATE(M19,VALUE(MID(C19,3,2)),VALUE(MID(C19,1,2))),"")),"")</f>
        <v/>
      </c>
    </row>
    <row r="20">
      <c r="A20" s="2" t="n"/>
      <c r="B20" s="2" t="n"/>
      <c r="C20" s="3" t="n"/>
      <c r="D20" s="2" t="n"/>
      <c r="E20" s="4">
        <f>IF(A20="","",5)</f>
        <v/>
      </c>
      <c r="F20" s="2" t="n"/>
      <c r="G20" s="4" t="n"/>
      <c r="H20" s="2" t="n"/>
      <c r="I20" s="2" t="n"/>
      <c r="J20" s="2">
        <f>IF(C20="","",IF(LEN(C20)&lt;&gt;13,"Nema 13 cifara (ima "&amp;LEN(C20)&amp;")",IF(L20="","JMBG sadrži nešto što nije cifra",IF(N20="","Nepostojeći datum rođenja",IF(VALUE(MID(C20,13,1))&lt;&gt;L20,"Pogrešna kontrolna cifra - treba "&amp;L20,"✓ ispravan")))))</f>
        <v/>
      </c>
      <c r="K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L20">
        <f>IF(K20="","",IF(11-MOD(K20,11)&gt;9,0,11-MOD(K20,11)))</f>
        <v/>
      </c>
      <c r="M20">
        <f>IFERROR(IF(LEN(C20)&lt;&gt;13,"",IF(VALUE(MID(C20,5,3))&gt;=800,1000,2000)+VALUE(MID(C20,5,3))),"")</f>
        <v/>
      </c>
      <c r="N20">
        <f>IFERROR(IF(M20="","",IF(AND(DAY(DATE(M20,VALUE(MID(C20,3,2)),VALUE(MID(C20,1,2))))=VALUE(MID(C20,1,2)),MONTH(DATE(M20,VALUE(MID(C20,3,2)),VALUE(MID(C20,1,2))))=VALUE(MID(C20,3,2))),DATE(M20,VALUE(MID(C20,3,2)),VALUE(MID(C20,1,2))),"")),"")</f>
        <v/>
      </c>
    </row>
    <row r="21">
      <c r="A21" s="2" t="n"/>
      <c r="B21" s="2" t="n"/>
      <c r="C21" s="3" t="n"/>
      <c r="D21" s="2" t="n"/>
      <c r="E21" s="4">
        <f>IF(A21="","",5)</f>
        <v/>
      </c>
      <c r="F21" s="2" t="n"/>
      <c r="G21" s="4" t="n"/>
      <c r="H21" s="2" t="n"/>
      <c r="I21" s="2" t="n"/>
      <c r="J21" s="2">
        <f>IF(C21="","",IF(LEN(C21)&lt;&gt;13,"Nema 13 cifara (ima "&amp;LEN(C21)&amp;")",IF(L21="","JMBG sadrži nešto što nije cifra",IF(N21="","Nepostojeći datum rođenja",IF(VALUE(MID(C21,13,1))&lt;&gt;L21,"Pogrešna kontrolna cifra - treba "&amp;L21,"✓ ispravan")))))</f>
        <v/>
      </c>
      <c r="K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L21">
        <f>IF(K21="","",IF(11-MOD(K21,11)&gt;9,0,11-MOD(K21,11)))</f>
        <v/>
      </c>
      <c r="M21">
        <f>IFERROR(IF(LEN(C21)&lt;&gt;13,"",IF(VALUE(MID(C21,5,3))&gt;=800,1000,2000)+VALUE(MID(C21,5,3))),"")</f>
        <v/>
      </c>
      <c r="N21">
        <f>IFERROR(IF(M21="","",IF(AND(DAY(DATE(M21,VALUE(MID(C21,3,2)),VALUE(MID(C21,1,2))))=VALUE(MID(C21,1,2)),MONTH(DATE(M21,VALUE(MID(C21,3,2)),VALUE(MID(C21,1,2))))=VALUE(MID(C21,3,2))),DATE(M21,VALUE(MID(C21,3,2)),VALUE(MID(C21,1,2))),"")),"")</f>
        <v/>
      </c>
    </row>
    <row r="22">
      <c r="A22" s="2" t="n"/>
      <c r="B22" s="2" t="n"/>
      <c r="C22" s="3" t="n"/>
      <c r="D22" s="2" t="n"/>
      <c r="E22" s="4">
        <f>IF(A22="","",5)</f>
        <v/>
      </c>
      <c r="F22" s="2" t="n"/>
      <c r="G22" s="4" t="n"/>
      <c r="H22" s="2" t="n"/>
      <c r="I22" s="2" t="n"/>
      <c r="J22" s="2">
        <f>IF(C22="","",IF(LEN(C22)&lt;&gt;13,"Nema 13 cifara (ima "&amp;LEN(C22)&amp;")",IF(L22="","JMBG sadrži nešto što nije cifra",IF(N22="","Nepostojeći datum rođenja",IF(VALUE(MID(C22,13,1))&lt;&gt;L22,"Pogrešna kontrolna cifra - treba "&amp;L22,"✓ ispravan")))))</f>
        <v/>
      </c>
      <c r="K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L22">
        <f>IF(K22="","",IF(11-MOD(K22,11)&gt;9,0,11-MOD(K22,11)))</f>
        <v/>
      </c>
      <c r="M22">
        <f>IFERROR(IF(LEN(C22)&lt;&gt;13,"",IF(VALUE(MID(C22,5,3))&gt;=800,1000,2000)+VALUE(MID(C22,5,3))),"")</f>
        <v/>
      </c>
      <c r="N22">
        <f>IFERROR(IF(M22="","",IF(AND(DAY(DATE(M22,VALUE(MID(C22,3,2)),VALUE(MID(C22,1,2))))=VALUE(MID(C22,1,2)),MONTH(DATE(M22,VALUE(MID(C22,3,2)),VALUE(MID(C22,1,2))))=VALUE(MID(C22,3,2))),DATE(M22,VALUE(MID(C22,3,2)),VALUE(MID(C22,1,2))),"")),"")</f>
        <v/>
      </c>
    </row>
    <row r="23">
      <c r="A23" s="2" t="n"/>
      <c r="B23" s="2" t="n"/>
      <c r="C23" s="3" t="n"/>
      <c r="D23" s="2" t="n"/>
      <c r="E23" s="4">
        <f>IF(A23="","",5)</f>
        <v/>
      </c>
      <c r="F23" s="2" t="n"/>
      <c r="G23" s="4" t="n"/>
      <c r="H23" s="2" t="n"/>
      <c r="I23" s="2" t="n"/>
      <c r="J23" s="2">
        <f>IF(C23="","",IF(LEN(C23)&lt;&gt;13,"Nema 13 cifara (ima "&amp;LEN(C23)&amp;")",IF(L23="","JMBG sadrži nešto što nije cifra",IF(N23="","Nepostojeći datum rođenja",IF(VALUE(MID(C23,13,1))&lt;&gt;L23,"Pogrešna kontrolna cifra - treba "&amp;L23,"✓ ispravan")))))</f>
        <v/>
      </c>
      <c r="K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L23">
        <f>IF(K23="","",IF(11-MOD(K23,11)&gt;9,0,11-MOD(K23,11)))</f>
        <v/>
      </c>
      <c r="M23">
        <f>IFERROR(IF(LEN(C23)&lt;&gt;13,"",IF(VALUE(MID(C23,5,3))&gt;=800,1000,2000)+VALUE(MID(C23,5,3))),"")</f>
        <v/>
      </c>
      <c r="N23">
        <f>IFERROR(IF(M23="","",IF(AND(DAY(DATE(M23,VALUE(MID(C23,3,2)),VALUE(MID(C23,1,2))))=VALUE(MID(C23,1,2)),MONTH(DATE(M23,VALUE(MID(C23,3,2)),VALUE(MID(C23,1,2))))=VALUE(MID(C23,3,2))),DATE(M23,VALUE(MID(C23,3,2)),VALUE(MID(C23,1,2))),"")),"")</f>
        <v/>
      </c>
    </row>
    <row r="24">
      <c r="A24" s="2" t="n"/>
      <c r="B24" s="2" t="n"/>
      <c r="C24" s="3" t="n"/>
      <c r="D24" s="2" t="n"/>
      <c r="E24" s="4">
        <f>IF(A24="","",5)</f>
        <v/>
      </c>
      <c r="F24" s="2" t="n"/>
      <c r="G24" s="4" t="n"/>
      <c r="H24" s="2" t="n"/>
      <c r="I24" s="2" t="n"/>
      <c r="J24" s="2">
        <f>IF(C24="","",IF(LEN(C24)&lt;&gt;13,"Nema 13 cifara (ima "&amp;LEN(C24)&amp;")",IF(L24="","JMBG sadrži nešto što nije cifra",IF(N24="","Nepostojeći datum rođenja",IF(VALUE(MID(C24,13,1))&lt;&gt;L24,"Pogrešna kontrolna cifra - treba "&amp;L24,"✓ ispravan")))))</f>
        <v/>
      </c>
      <c r="K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L24">
        <f>IF(K24="","",IF(11-MOD(K24,11)&gt;9,0,11-MOD(K24,11)))</f>
        <v/>
      </c>
      <c r="M24">
        <f>IFERROR(IF(LEN(C24)&lt;&gt;13,"",IF(VALUE(MID(C24,5,3))&gt;=800,1000,2000)+VALUE(MID(C24,5,3))),"")</f>
        <v/>
      </c>
      <c r="N24">
        <f>IFERROR(IF(M24="","",IF(AND(DAY(DATE(M24,VALUE(MID(C24,3,2)),VALUE(MID(C24,1,2))))=VALUE(MID(C24,1,2)),MONTH(DATE(M24,VALUE(MID(C24,3,2)),VALUE(MID(C24,1,2))))=VALUE(MID(C24,3,2))),DATE(M24,VALUE(MID(C24,3,2)),VALUE(MID(C24,1,2))),"")),"")</f>
        <v/>
      </c>
    </row>
    <row r="25">
      <c r="A25" s="2" t="n"/>
      <c r="B25" s="2" t="n"/>
      <c r="C25" s="3" t="n"/>
      <c r="D25" s="2" t="n"/>
      <c r="E25" s="4">
        <f>IF(A25="","",5)</f>
        <v/>
      </c>
      <c r="F25" s="2" t="n"/>
      <c r="G25" s="4" t="n"/>
      <c r="H25" s="2" t="n"/>
      <c r="I25" s="2" t="n"/>
      <c r="J25" s="2">
        <f>IF(C25="","",IF(LEN(C25)&lt;&gt;13,"Nema 13 cifara (ima "&amp;LEN(C25)&amp;")",IF(L25="","JMBG sadrži nešto što nije cifra",IF(N25="","Nepostojeći datum rođenja",IF(VALUE(MID(C25,13,1))&lt;&gt;L25,"Pogrešna kontrolna cifra - treba "&amp;L25,"✓ ispravan")))))</f>
        <v/>
      </c>
      <c r="K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L25">
        <f>IF(K25="","",IF(11-MOD(K25,11)&gt;9,0,11-MOD(K25,11)))</f>
        <v/>
      </c>
      <c r="M25">
        <f>IFERROR(IF(LEN(C25)&lt;&gt;13,"",IF(VALUE(MID(C25,5,3))&gt;=800,1000,2000)+VALUE(MID(C25,5,3))),"")</f>
        <v/>
      </c>
      <c r="N25">
        <f>IFERROR(IF(M25="","",IF(AND(DAY(DATE(M25,VALUE(MID(C25,3,2)),VALUE(MID(C25,1,2))))=VALUE(MID(C25,1,2)),MONTH(DATE(M25,VALUE(MID(C25,3,2)),VALUE(MID(C25,1,2))))=VALUE(MID(C25,3,2))),DATE(M25,VALUE(MID(C25,3,2)),VALUE(MID(C25,1,2))),"")),"")</f>
        <v/>
      </c>
    </row>
    <row r="26">
      <c r="A26" s="2" t="n"/>
      <c r="B26" s="2" t="n"/>
      <c r="C26" s="3" t="n"/>
      <c r="D26" s="2" t="n"/>
      <c r="E26" s="4">
        <f>IF(A26="","",5)</f>
        <v/>
      </c>
      <c r="F26" s="2" t="n"/>
      <c r="G26" s="4" t="n"/>
      <c r="H26" s="2" t="n"/>
      <c r="I26" s="2" t="n"/>
      <c r="J26" s="2">
        <f>IF(C26="","",IF(LEN(C26)&lt;&gt;13,"Nema 13 cifara (ima "&amp;LEN(C26)&amp;")",IF(L26="","JMBG sadrži nešto što nije cifra",IF(N26="","Nepostojeći datum rođenja",IF(VALUE(MID(C26,13,1))&lt;&gt;L26,"Pogrešna kontrolna cifra - treba "&amp;L26,"✓ ispravan")))))</f>
        <v/>
      </c>
      <c r="K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L26">
        <f>IF(K26="","",IF(11-MOD(K26,11)&gt;9,0,11-MOD(K26,11)))</f>
        <v/>
      </c>
      <c r="M26">
        <f>IFERROR(IF(LEN(C26)&lt;&gt;13,"",IF(VALUE(MID(C26,5,3))&gt;=800,1000,2000)+VALUE(MID(C26,5,3))),"")</f>
        <v/>
      </c>
      <c r="N26">
        <f>IFERROR(IF(M26="","",IF(AND(DAY(DATE(M26,VALUE(MID(C26,3,2)),VALUE(MID(C26,1,2))))=VALUE(MID(C26,1,2)),MONTH(DATE(M26,VALUE(MID(C26,3,2)),VALUE(MID(C26,1,2))))=VALUE(MID(C26,3,2))),DATE(M26,VALUE(MID(C26,3,2)),VALUE(MID(C26,1,2))),"")),"")</f>
        <v/>
      </c>
    </row>
    <row r="27">
      <c r="A27" s="2" t="n"/>
      <c r="B27" s="2" t="n"/>
      <c r="C27" s="3" t="n"/>
      <c r="D27" s="2" t="n"/>
      <c r="E27" s="4">
        <f>IF(A27="","",5)</f>
        <v/>
      </c>
      <c r="F27" s="2" t="n"/>
      <c r="G27" s="4" t="n"/>
      <c r="H27" s="2" t="n"/>
      <c r="I27" s="2" t="n"/>
      <c r="J27" s="2">
        <f>IF(C27="","",IF(LEN(C27)&lt;&gt;13,"Nema 13 cifara (ima "&amp;LEN(C27)&amp;")",IF(L27="","JMBG sadrži nešto što nije cifra",IF(N27="","Nepostojeći datum rođenja",IF(VALUE(MID(C27,13,1))&lt;&gt;L27,"Pogrešna kontrolna cifra - treba "&amp;L27,"✓ ispravan")))))</f>
        <v/>
      </c>
      <c r="K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L27">
        <f>IF(K27="","",IF(11-MOD(K27,11)&gt;9,0,11-MOD(K27,11)))</f>
        <v/>
      </c>
      <c r="M27">
        <f>IFERROR(IF(LEN(C27)&lt;&gt;13,"",IF(VALUE(MID(C27,5,3))&gt;=800,1000,2000)+VALUE(MID(C27,5,3))),"")</f>
        <v/>
      </c>
      <c r="N27">
        <f>IFERROR(IF(M27="","",IF(AND(DAY(DATE(M27,VALUE(MID(C27,3,2)),VALUE(MID(C27,1,2))))=VALUE(MID(C27,1,2)),MONTH(DATE(M27,VALUE(MID(C27,3,2)),VALUE(MID(C27,1,2))))=VALUE(MID(C27,3,2))),DATE(M27,VALUE(MID(C27,3,2)),VALUE(MID(C27,1,2))),"")),"")</f>
        <v/>
      </c>
    </row>
    <row r="28">
      <c r="A28" s="2" t="n"/>
      <c r="B28" s="2" t="n"/>
      <c r="C28" s="3" t="n"/>
      <c r="D28" s="2" t="n"/>
      <c r="E28" s="4">
        <f>IF(A28="","",5)</f>
        <v/>
      </c>
      <c r="F28" s="2" t="n"/>
      <c r="G28" s="4" t="n"/>
      <c r="H28" s="2" t="n"/>
      <c r="I28" s="2" t="n"/>
      <c r="J28" s="2">
        <f>IF(C28="","",IF(LEN(C28)&lt;&gt;13,"Nema 13 cifara (ima "&amp;LEN(C28)&amp;")",IF(L28="","JMBG sadrži nešto što nije cifra",IF(N28="","Nepostojeći datum rođenja",IF(VALUE(MID(C28,13,1))&lt;&gt;L28,"Pogrešna kontrolna cifra - treba "&amp;L28,"✓ ispravan")))))</f>
        <v/>
      </c>
      <c r="K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L28">
        <f>IF(K28="","",IF(11-MOD(K28,11)&gt;9,0,11-MOD(K28,11)))</f>
        <v/>
      </c>
      <c r="M28">
        <f>IFERROR(IF(LEN(C28)&lt;&gt;13,"",IF(VALUE(MID(C28,5,3))&gt;=800,1000,2000)+VALUE(MID(C28,5,3))),"")</f>
        <v/>
      </c>
      <c r="N28">
        <f>IFERROR(IF(M28="","",IF(AND(DAY(DATE(M28,VALUE(MID(C28,3,2)),VALUE(MID(C28,1,2))))=VALUE(MID(C28,1,2)),MONTH(DATE(M28,VALUE(MID(C28,3,2)),VALUE(MID(C28,1,2))))=VALUE(MID(C28,3,2))),DATE(M28,VALUE(MID(C28,3,2)),VALUE(MID(C28,1,2))),"")),"")</f>
        <v/>
      </c>
    </row>
    <row r="29">
      <c r="A29" s="2" t="n"/>
      <c r="B29" s="2" t="n"/>
      <c r="C29" s="3" t="n"/>
      <c r="D29" s="2" t="n"/>
      <c r="E29" s="4">
        <f>IF(A29="","",5)</f>
        <v/>
      </c>
      <c r="F29" s="2" t="n"/>
      <c r="G29" s="4" t="n"/>
      <c r="H29" s="2" t="n"/>
      <c r="I29" s="2" t="n"/>
      <c r="J29" s="2">
        <f>IF(C29="","",IF(LEN(C29)&lt;&gt;13,"Nema 13 cifara (ima "&amp;LEN(C29)&amp;")",IF(L29="","JMBG sadrži nešto što nije cifra",IF(N29="","Nepostojeći datum rođenja",IF(VALUE(MID(C29,13,1))&lt;&gt;L29,"Pogrešna kontrolna cifra - treba "&amp;L29,"✓ ispravan")))))</f>
        <v/>
      </c>
      <c r="K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L29">
        <f>IF(K29="","",IF(11-MOD(K29,11)&gt;9,0,11-MOD(K29,11)))</f>
        <v/>
      </c>
      <c r="M29">
        <f>IFERROR(IF(LEN(C29)&lt;&gt;13,"",IF(VALUE(MID(C29,5,3))&gt;=800,1000,2000)+VALUE(MID(C29,5,3))),"")</f>
        <v/>
      </c>
      <c r="N29">
        <f>IFERROR(IF(M29="","",IF(AND(DAY(DATE(M29,VALUE(MID(C29,3,2)),VALUE(MID(C29,1,2))))=VALUE(MID(C29,1,2)),MONTH(DATE(M29,VALUE(MID(C29,3,2)),VALUE(MID(C29,1,2))))=VALUE(MID(C29,3,2))),DATE(M29,VALUE(MID(C29,3,2)),VALUE(MID(C29,1,2))),"")),"")</f>
        <v/>
      </c>
    </row>
    <row r="30">
      <c r="A30" s="2" t="n"/>
      <c r="B30" s="2" t="n"/>
      <c r="C30" s="3" t="n"/>
      <c r="D30" s="2" t="n"/>
      <c r="E30" s="4">
        <f>IF(A30="","",5)</f>
        <v/>
      </c>
      <c r="F30" s="2" t="n"/>
      <c r="G30" s="4" t="n"/>
      <c r="H30" s="2" t="n"/>
      <c r="I30" s="2" t="n"/>
      <c r="J30" s="2">
        <f>IF(C30="","",IF(LEN(C30)&lt;&gt;13,"Nema 13 cifara (ima "&amp;LEN(C30)&amp;")",IF(L30="","JMBG sadrži nešto što nije cifra",IF(N30="","Nepostojeći datum rođenja",IF(VALUE(MID(C30,13,1))&lt;&gt;L30,"Pogrešna kontrolna cifra - treba "&amp;L30,"✓ ispravan")))))</f>
        <v/>
      </c>
      <c r="K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L30">
        <f>IF(K30="","",IF(11-MOD(K30,11)&gt;9,0,11-MOD(K30,11)))</f>
        <v/>
      </c>
      <c r="M30">
        <f>IFERROR(IF(LEN(C30)&lt;&gt;13,"",IF(VALUE(MID(C30,5,3))&gt;=800,1000,2000)+VALUE(MID(C30,5,3))),"")</f>
        <v/>
      </c>
      <c r="N30">
        <f>IFERROR(IF(M30="","",IF(AND(DAY(DATE(M30,VALUE(MID(C30,3,2)),VALUE(MID(C30,1,2))))=VALUE(MID(C30,1,2)),MONTH(DATE(M30,VALUE(MID(C30,3,2)),VALUE(MID(C30,1,2))))=VALUE(MID(C30,3,2))),DATE(M30,VALUE(MID(C30,3,2)),VALUE(MID(C30,1,2))),"")),"")</f>
        <v/>
      </c>
    </row>
    <row r="31">
      <c r="A31" s="2" t="n"/>
      <c r="B31" s="2" t="n"/>
      <c r="C31" s="3" t="n"/>
      <c r="D31" s="2" t="n"/>
      <c r="E31" s="4">
        <f>IF(A31="","",5)</f>
        <v/>
      </c>
      <c r="F31" s="2" t="n"/>
      <c r="G31" s="4" t="n"/>
      <c r="H31" s="2" t="n"/>
      <c r="I31" s="2" t="n"/>
      <c r="J31" s="2">
        <f>IF(C31="","",IF(LEN(C31)&lt;&gt;13,"Nema 13 cifara (ima "&amp;LEN(C31)&amp;")",IF(L31="","JMBG sadrži nešto što nije cifra",IF(N31="","Nepostojeći datum rođenja",IF(VALUE(MID(C31,13,1))&lt;&gt;L31,"Pogrešna kontrolna cifra - treba "&amp;L31,"✓ ispravan")))))</f>
        <v/>
      </c>
      <c r="K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L31">
        <f>IF(K31="","",IF(11-MOD(K31,11)&gt;9,0,11-MOD(K31,11)))</f>
        <v/>
      </c>
      <c r="M31">
        <f>IFERROR(IF(LEN(C31)&lt;&gt;13,"",IF(VALUE(MID(C31,5,3))&gt;=800,1000,2000)+VALUE(MID(C31,5,3))),"")</f>
        <v/>
      </c>
      <c r="N31">
        <f>IFERROR(IF(M31="","",IF(AND(DAY(DATE(M31,VALUE(MID(C31,3,2)),VALUE(MID(C31,1,2))))=VALUE(MID(C31,1,2)),MONTH(DATE(M31,VALUE(MID(C31,3,2)),VALUE(MID(C31,1,2))))=VALUE(MID(C31,3,2))),DATE(M31,VALUE(MID(C31,3,2)),VALUE(MID(C31,1,2))),"")),"")</f>
        <v/>
      </c>
    </row>
    <row r="32">
      <c r="A32" s="2" t="n"/>
      <c r="B32" s="2" t="n"/>
      <c r="C32" s="3" t="n"/>
      <c r="D32" s="2" t="n"/>
      <c r="E32" s="4">
        <f>IF(A32="","",5)</f>
        <v/>
      </c>
      <c r="F32" s="2" t="n"/>
      <c r="G32" s="4" t="n"/>
      <c r="H32" s="2" t="n"/>
      <c r="I32" s="2" t="n"/>
      <c r="J32" s="2">
        <f>IF(C32="","",IF(LEN(C32)&lt;&gt;13,"Nema 13 cifara (ima "&amp;LEN(C32)&amp;")",IF(L32="","JMBG sadrži nešto što nije cifra",IF(N32="","Nepostojeći datum rođenja",IF(VALUE(MID(C32,13,1))&lt;&gt;L32,"Pogrešna kontrolna cifra - treba "&amp;L32,"✓ ispravan")))))</f>
        <v/>
      </c>
      <c r="K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L32">
        <f>IF(K32="","",IF(11-MOD(K32,11)&gt;9,0,11-MOD(K32,11)))</f>
        <v/>
      </c>
      <c r="M32">
        <f>IFERROR(IF(LEN(C32)&lt;&gt;13,"",IF(VALUE(MID(C32,5,3))&gt;=800,1000,2000)+VALUE(MID(C32,5,3))),"")</f>
        <v/>
      </c>
      <c r="N32">
        <f>IFERROR(IF(M32="","",IF(AND(DAY(DATE(M32,VALUE(MID(C32,3,2)),VALUE(MID(C32,1,2))))=VALUE(MID(C32,1,2)),MONTH(DATE(M32,VALUE(MID(C32,3,2)),VALUE(MID(C32,1,2))))=VALUE(MID(C32,3,2))),DATE(M32,VALUE(MID(C32,3,2)),VALUE(MID(C32,1,2))),"")),"")</f>
        <v/>
      </c>
    </row>
    <row r="33">
      <c r="A33" s="2" t="n"/>
      <c r="B33" s="2" t="n"/>
      <c r="C33" s="3" t="n"/>
      <c r="D33" s="2" t="n"/>
      <c r="E33" s="4">
        <f>IF(A33="","",5)</f>
        <v/>
      </c>
      <c r="F33" s="2" t="n"/>
      <c r="G33" s="4" t="n"/>
      <c r="H33" s="2" t="n"/>
      <c r="I33" s="2" t="n"/>
      <c r="J33" s="2">
        <f>IF(C33="","",IF(LEN(C33)&lt;&gt;13,"Nema 13 cifara (ima "&amp;LEN(C33)&amp;")",IF(L33="","JMBG sadrži nešto što nije cifra",IF(N33="","Nepostojeći datum rođenja",IF(VALUE(MID(C33,13,1))&lt;&gt;L33,"Pogrešna kontrolna cifra - treba "&amp;L33,"✓ ispravan")))))</f>
        <v/>
      </c>
      <c r="K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L33">
        <f>IF(K33="","",IF(11-MOD(K33,11)&gt;9,0,11-MOD(K33,11)))</f>
        <v/>
      </c>
      <c r="M33">
        <f>IFERROR(IF(LEN(C33)&lt;&gt;13,"",IF(VALUE(MID(C33,5,3))&gt;=800,1000,2000)+VALUE(MID(C33,5,3))),"")</f>
        <v/>
      </c>
      <c r="N33">
        <f>IFERROR(IF(M33="","",IF(AND(DAY(DATE(M33,VALUE(MID(C33,3,2)),VALUE(MID(C33,1,2))))=VALUE(MID(C33,1,2)),MONTH(DATE(M33,VALUE(MID(C33,3,2)),VALUE(MID(C33,1,2))))=VALUE(MID(C33,3,2))),DATE(M33,VALUE(MID(C33,3,2)),VALUE(MID(C33,1,2))),"")),"")</f>
        <v/>
      </c>
    </row>
    <row r="34">
      <c r="A34" s="2" t="n"/>
      <c r="B34" s="2" t="n"/>
      <c r="C34" s="3" t="n"/>
      <c r="D34" s="2" t="n"/>
      <c r="E34" s="4">
        <f>IF(A34="","",5)</f>
        <v/>
      </c>
      <c r="F34" s="2" t="n"/>
      <c r="G34" s="4" t="n"/>
      <c r="H34" s="2" t="n"/>
      <c r="I34" s="2" t="n"/>
      <c r="J34" s="2">
        <f>IF(C34="","",IF(LEN(C34)&lt;&gt;13,"Nema 13 cifara (ima "&amp;LEN(C34)&amp;")",IF(L34="","JMBG sadrži nešto što nije cifra",IF(N34="","Nepostojeći datum rođenja",IF(VALUE(MID(C34,13,1))&lt;&gt;L34,"Pogrešna kontrolna cifra - treba "&amp;L34,"✓ ispravan")))))</f>
        <v/>
      </c>
      <c r="K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L34">
        <f>IF(K34="","",IF(11-MOD(K34,11)&gt;9,0,11-MOD(K34,11)))</f>
        <v/>
      </c>
      <c r="M34">
        <f>IFERROR(IF(LEN(C34)&lt;&gt;13,"",IF(VALUE(MID(C34,5,3))&gt;=800,1000,2000)+VALUE(MID(C34,5,3))),"")</f>
        <v/>
      </c>
      <c r="N34">
        <f>IFERROR(IF(M34="","",IF(AND(DAY(DATE(M34,VALUE(MID(C34,3,2)),VALUE(MID(C34,1,2))))=VALUE(MID(C34,1,2)),MONTH(DATE(M34,VALUE(MID(C34,3,2)),VALUE(MID(C34,1,2))))=VALUE(MID(C34,3,2))),DATE(M34,VALUE(MID(C34,3,2)),VALUE(MID(C34,1,2))),"")),"")</f>
        <v/>
      </c>
    </row>
    <row r="35">
      <c r="A35" s="2" t="n"/>
      <c r="B35" s="2" t="n"/>
      <c r="C35" s="3" t="n"/>
      <c r="D35" s="2" t="n"/>
      <c r="E35" s="4">
        <f>IF(A35="","",5)</f>
        <v/>
      </c>
      <c r="F35" s="2" t="n"/>
      <c r="G35" s="4" t="n"/>
      <c r="H35" s="2" t="n"/>
      <c r="I35" s="2" t="n"/>
      <c r="J35" s="2">
        <f>IF(C35="","",IF(LEN(C35)&lt;&gt;13,"Nema 13 cifara (ima "&amp;LEN(C35)&amp;")",IF(L35="","JMBG sadrži nešto što nije cifra",IF(N35="","Nepostojeći datum rođenja",IF(VALUE(MID(C35,13,1))&lt;&gt;L35,"Pogrešna kontrolna cifra - treba "&amp;L35,"✓ ispravan")))))</f>
        <v/>
      </c>
      <c r="K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L35">
        <f>IF(K35="","",IF(11-MOD(K35,11)&gt;9,0,11-MOD(K35,11)))</f>
        <v/>
      </c>
      <c r="M35">
        <f>IFERROR(IF(LEN(C35)&lt;&gt;13,"",IF(VALUE(MID(C35,5,3))&gt;=800,1000,2000)+VALUE(MID(C35,5,3))),"")</f>
        <v/>
      </c>
      <c r="N35">
        <f>IFERROR(IF(M35="","",IF(AND(DAY(DATE(M35,VALUE(MID(C35,3,2)),VALUE(MID(C35,1,2))))=VALUE(MID(C35,1,2)),MONTH(DATE(M35,VALUE(MID(C35,3,2)),VALUE(MID(C35,1,2))))=VALUE(MID(C35,3,2))),DATE(M35,VALUE(MID(C35,3,2)),VALUE(MID(C35,1,2))),"")),"")</f>
        <v/>
      </c>
    </row>
    <row r="36">
      <c r="A36" s="2" t="n"/>
      <c r="B36" s="2" t="n"/>
      <c r="C36" s="3" t="n"/>
      <c r="D36" s="2" t="n"/>
      <c r="E36" s="4">
        <f>IF(A36="","",5)</f>
        <v/>
      </c>
      <c r="F36" s="2" t="n"/>
      <c r="G36" s="4" t="n"/>
      <c r="H36" s="2" t="n"/>
      <c r="I36" s="2" t="n"/>
      <c r="J36" s="2">
        <f>IF(C36="","",IF(LEN(C36)&lt;&gt;13,"Nema 13 cifara (ima "&amp;LEN(C36)&amp;")",IF(L36="","JMBG sadrži nešto što nije cifra",IF(N36="","Nepostojeći datum rođenja",IF(VALUE(MID(C36,13,1))&lt;&gt;L36,"Pogrešna kontrolna cifra - treba "&amp;L36,"✓ ispravan")))))</f>
        <v/>
      </c>
      <c r="K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L36">
        <f>IF(K36="","",IF(11-MOD(K36,11)&gt;9,0,11-MOD(K36,11)))</f>
        <v/>
      </c>
      <c r="M36">
        <f>IFERROR(IF(LEN(C36)&lt;&gt;13,"",IF(VALUE(MID(C36,5,3))&gt;=800,1000,2000)+VALUE(MID(C36,5,3))),"")</f>
        <v/>
      </c>
      <c r="N36">
        <f>IFERROR(IF(M36="","",IF(AND(DAY(DATE(M36,VALUE(MID(C36,3,2)),VALUE(MID(C36,1,2))))=VALUE(MID(C36,1,2)),MONTH(DATE(M36,VALUE(MID(C36,3,2)),VALUE(MID(C36,1,2))))=VALUE(MID(C36,3,2))),DATE(M36,VALUE(MID(C36,3,2)),VALUE(MID(C36,1,2))),"")),"")</f>
        <v/>
      </c>
    </row>
    <row r="37">
      <c r="A37" s="2" t="n"/>
      <c r="B37" s="2" t="n"/>
      <c r="C37" s="3" t="n"/>
      <c r="D37" s="2" t="n"/>
      <c r="E37" s="4">
        <f>IF(A37="","",5)</f>
        <v/>
      </c>
      <c r="F37" s="2" t="n"/>
      <c r="G37" s="4" t="n"/>
      <c r="H37" s="2" t="n"/>
      <c r="I37" s="2" t="n"/>
      <c r="J37" s="2">
        <f>IF(C37="","",IF(LEN(C37)&lt;&gt;13,"Nema 13 cifara (ima "&amp;LEN(C37)&amp;")",IF(L37="","JMBG sadrži nešto što nije cifra",IF(N37="","Nepostojeći datum rođenja",IF(VALUE(MID(C37,13,1))&lt;&gt;L37,"Pogrešna kontrolna cifra - treba "&amp;L37,"✓ ispravan")))))</f>
        <v/>
      </c>
      <c r="K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L37">
        <f>IF(K37="","",IF(11-MOD(K37,11)&gt;9,0,11-MOD(K37,11)))</f>
        <v/>
      </c>
      <c r="M37">
        <f>IFERROR(IF(LEN(C37)&lt;&gt;13,"",IF(VALUE(MID(C37,5,3))&gt;=800,1000,2000)+VALUE(MID(C37,5,3))),"")</f>
        <v/>
      </c>
      <c r="N37">
        <f>IFERROR(IF(M37="","",IF(AND(DAY(DATE(M37,VALUE(MID(C37,3,2)),VALUE(MID(C37,1,2))))=VALUE(MID(C37,1,2)),MONTH(DATE(M37,VALUE(MID(C37,3,2)),VALUE(MID(C37,1,2))))=VALUE(MID(C37,3,2))),DATE(M37,VALUE(MID(C37,3,2)),VALUE(MID(C37,1,2))),"")),"")</f>
        <v/>
      </c>
    </row>
    <row r="38">
      <c r="A38" s="2" t="n"/>
      <c r="B38" s="2" t="n"/>
      <c r="C38" s="3" t="n"/>
      <c r="D38" s="2" t="n"/>
      <c r="E38" s="4">
        <f>IF(A38="","",5)</f>
        <v/>
      </c>
      <c r="F38" s="2" t="n"/>
      <c r="G38" s="4" t="n"/>
      <c r="H38" s="2" t="n"/>
      <c r="I38" s="2" t="n"/>
      <c r="J38" s="2">
        <f>IF(C38="","",IF(LEN(C38)&lt;&gt;13,"Nema 13 cifara (ima "&amp;LEN(C38)&amp;")",IF(L38="","JMBG sadrži nešto što nije cifra",IF(N38="","Nepostojeći datum rođenja",IF(VALUE(MID(C38,13,1))&lt;&gt;L38,"Pogrešna kontrolna cifra - treba "&amp;L38,"✓ ispravan")))))</f>
        <v/>
      </c>
      <c r="K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L38">
        <f>IF(K38="","",IF(11-MOD(K38,11)&gt;9,0,11-MOD(K38,11)))</f>
        <v/>
      </c>
      <c r="M38">
        <f>IFERROR(IF(LEN(C38)&lt;&gt;13,"",IF(VALUE(MID(C38,5,3))&gt;=800,1000,2000)+VALUE(MID(C38,5,3))),"")</f>
        <v/>
      </c>
      <c r="N38">
        <f>IFERROR(IF(M38="","",IF(AND(DAY(DATE(M38,VALUE(MID(C38,3,2)),VALUE(MID(C38,1,2))))=VALUE(MID(C38,1,2)),MONTH(DATE(M38,VALUE(MID(C38,3,2)),VALUE(MID(C38,1,2))))=VALUE(MID(C38,3,2))),DATE(M38,VALUE(MID(C38,3,2)),VALUE(MID(C38,1,2))),"")),"")</f>
        <v/>
      </c>
    </row>
    <row r="39">
      <c r="A39" s="2" t="n"/>
      <c r="B39" s="2" t="n"/>
      <c r="C39" s="3" t="n"/>
      <c r="D39" s="2" t="n"/>
      <c r="E39" s="4">
        <f>IF(A39="","",5)</f>
        <v/>
      </c>
      <c r="F39" s="2" t="n"/>
      <c r="G39" s="4" t="n"/>
      <c r="H39" s="2" t="n"/>
      <c r="I39" s="2" t="n"/>
      <c r="J39" s="2">
        <f>IF(C39="","",IF(LEN(C39)&lt;&gt;13,"Nema 13 cifara (ima "&amp;LEN(C39)&amp;")",IF(L39="","JMBG sadrži nešto što nije cifra",IF(N39="","Nepostojeći datum rođenja",IF(VALUE(MID(C39,13,1))&lt;&gt;L39,"Pogrešna kontrolna cifra - treba "&amp;L39,"✓ ispravan")))))</f>
        <v/>
      </c>
      <c r="K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L39">
        <f>IF(K39="","",IF(11-MOD(K39,11)&gt;9,0,11-MOD(K39,11)))</f>
        <v/>
      </c>
      <c r="M39">
        <f>IFERROR(IF(LEN(C39)&lt;&gt;13,"",IF(VALUE(MID(C39,5,3))&gt;=800,1000,2000)+VALUE(MID(C39,5,3))),"")</f>
        <v/>
      </c>
      <c r="N39">
        <f>IFERROR(IF(M39="","",IF(AND(DAY(DATE(M39,VALUE(MID(C39,3,2)),VALUE(MID(C39,1,2))))=VALUE(MID(C39,1,2)),MONTH(DATE(M39,VALUE(MID(C39,3,2)),VALUE(MID(C39,1,2))))=VALUE(MID(C39,3,2))),DATE(M39,VALUE(MID(C39,3,2)),VALUE(MID(C39,1,2))),"")),"")</f>
        <v/>
      </c>
    </row>
    <row r="40">
      <c r="A40" s="2" t="n"/>
      <c r="B40" s="2" t="n"/>
      <c r="C40" s="3" t="n"/>
      <c r="D40" s="2" t="n"/>
      <c r="E40" s="4">
        <f>IF(A40="","",5)</f>
        <v/>
      </c>
      <c r="F40" s="2" t="n"/>
      <c r="G40" s="4" t="n"/>
      <c r="H40" s="2" t="n"/>
      <c r="I40" s="2" t="n"/>
      <c r="J40" s="2">
        <f>IF(C40="","",IF(LEN(C40)&lt;&gt;13,"Nema 13 cifara (ima "&amp;LEN(C40)&amp;")",IF(L40="","JMBG sadrži nešto što nije cifra",IF(N40="","Nepostojeći datum rođenja",IF(VALUE(MID(C40,13,1))&lt;&gt;L40,"Pogrešna kontrolna cifra - treba "&amp;L40,"✓ ispravan")))))</f>
        <v/>
      </c>
      <c r="K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L40">
        <f>IF(K40="","",IF(11-MOD(K40,11)&gt;9,0,11-MOD(K40,11)))</f>
        <v/>
      </c>
      <c r="M40">
        <f>IFERROR(IF(LEN(C40)&lt;&gt;13,"",IF(VALUE(MID(C40,5,3))&gt;=800,1000,2000)+VALUE(MID(C40,5,3))),"")</f>
        <v/>
      </c>
      <c r="N40">
        <f>IFERROR(IF(M40="","",IF(AND(DAY(DATE(M40,VALUE(MID(C40,3,2)),VALUE(MID(C40,1,2))))=VALUE(MID(C40,1,2)),MONTH(DATE(M40,VALUE(MID(C40,3,2)),VALUE(MID(C40,1,2))))=VALUE(MID(C40,3,2))),DATE(M40,VALUE(MID(C40,3,2)),VALUE(MID(C40,1,2))),"")),"")</f>
        <v/>
      </c>
    </row>
    <row r="41">
      <c r="A41" s="2" t="n"/>
      <c r="B41" s="2" t="n"/>
      <c r="C41" s="3" t="n"/>
      <c r="D41" s="2" t="n"/>
      <c r="E41" s="4">
        <f>IF(A41="","",5)</f>
        <v/>
      </c>
      <c r="F41" s="2" t="n"/>
      <c r="G41" s="4" t="n"/>
      <c r="H41" s="2" t="n"/>
      <c r="I41" s="2" t="n"/>
      <c r="J41" s="2">
        <f>IF(C41="","",IF(LEN(C41)&lt;&gt;13,"Nema 13 cifara (ima "&amp;LEN(C41)&amp;")",IF(L41="","JMBG sadrži nešto što nije cifra",IF(N41="","Nepostojeći datum rođenja",IF(VALUE(MID(C41,13,1))&lt;&gt;L41,"Pogrešna kontrolna cifra - treba "&amp;L41,"✓ ispravan")))))</f>
        <v/>
      </c>
      <c r="K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L41">
        <f>IF(K41="","",IF(11-MOD(K41,11)&gt;9,0,11-MOD(K41,11)))</f>
        <v/>
      </c>
      <c r="M41">
        <f>IFERROR(IF(LEN(C41)&lt;&gt;13,"",IF(VALUE(MID(C41,5,3))&gt;=800,1000,2000)+VALUE(MID(C41,5,3))),"")</f>
        <v/>
      </c>
      <c r="N41">
        <f>IFERROR(IF(M41="","",IF(AND(DAY(DATE(M41,VALUE(MID(C41,3,2)),VALUE(MID(C41,1,2))))=VALUE(MID(C41,1,2)),MONTH(DATE(M41,VALUE(MID(C41,3,2)),VALUE(MID(C41,1,2))))=VALUE(MID(C41,3,2))),DATE(M41,VALUE(MID(C41,3,2)),VALUE(MID(C41,1,2))),"")),"")</f>
        <v/>
      </c>
    </row>
    <row r="42">
      <c r="A42" s="2" t="n"/>
      <c r="B42" s="2" t="n"/>
      <c r="C42" s="3" t="n"/>
      <c r="D42" s="2" t="n"/>
      <c r="E42" s="4">
        <f>IF(A42="","",5)</f>
        <v/>
      </c>
      <c r="F42" s="2" t="n"/>
      <c r="G42" s="4" t="n"/>
      <c r="H42" s="2" t="n"/>
      <c r="I42" s="2" t="n"/>
      <c r="J42" s="2">
        <f>IF(C42="","",IF(LEN(C42)&lt;&gt;13,"Nema 13 cifara (ima "&amp;LEN(C42)&amp;")",IF(L42="","JMBG sadrži nešto što nije cifra",IF(N42="","Nepostojeći datum rođenja",IF(VALUE(MID(C42,13,1))&lt;&gt;L42,"Pogrešna kontrolna cifra - treba "&amp;L42,"✓ ispravan")))))</f>
        <v/>
      </c>
      <c r="K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L42">
        <f>IF(K42="","",IF(11-MOD(K42,11)&gt;9,0,11-MOD(K42,11)))</f>
        <v/>
      </c>
      <c r="M42">
        <f>IFERROR(IF(LEN(C42)&lt;&gt;13,"",IF(VALUE(MID(C42,5,3))&gt;=800,1000,2000)+VALUE(MID(C42,5,3))),"")</f>
        <v/>
      </c>
      <c r="N42">
        <f>IFERROR(IF(M42="","",IF(AND(DAY(DATE(M42,VALUE(MID(C42,3,2)),VALUE(MID(C42,1,2))))=VALUE(MID(C42,1,2)),MONTH(DATE(M42,VALUE(MID(C42,3,2)),VALUE(MID(C42,1,2))))=VALUE(MID(C42,3,2))),DATE(M42,VALUE(MID(C42,3,2)),VALUE(MID(C42,1,2))),"")),"")</f>
        <v/>
      </c>
    </row>
    <row r="43">
      <c r="A43" s="2" t="n"/>
      <c r="B43" s="2" t="n"/>
      <c r="C43" s="3" t="n"/>
      <c r="D43" s="2" t="n"/>
      <c r="E43" s="4">
        <f>IF(A43="","",5)</f>
        <v/>
      </c>
      <c r="F43" s="2" t="n"/>
      <c r="G43" s="4" t="n"/>
      <c r="H43" s="2" t="n"/>
      <c r="I43" s="2" t="n"/>
      <c r="J43" s="2">
        <f>IF(C43="","",IF(LEN(C43)&lt;&gt;13,"Nema 13 cifara (ima "&amp;LEN(C43)&amp;")",IF(L43="","JMBG sadrži nešto što nije cifra",IF(N43="","Nepostojeći datum rođenja",IF(VALUE(MID(C43,13,1))&lt;&gt;L43,"Pogrešna kontrolna cifra - treba "&amp;L43,"✓ ispravan")))))</f>
        <v/>
      </c>
      <c r="K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L43">
        <f>IF(K43="","",IF(11-MOD(K43,11)&gt;9,0,11-MOD(K43,11)))</f>
        <v/>
      </c>
      <c r="M43">
        <f>IFERROR(IF(LEN(C43)&lt;&gt;13,"",IF(VALUE(MID(C43,5,3))&gt;=800,1000,2000)+VALUE(MID(C43,5,3))),"")</f>
        <v/>
      </c>
      <c r="N43">
        <f>IFERROR(IF(M43="","",IF(AND(DAY(DATE(M43,VALUE(MID(C43,3,2)),VALUE(MID(C43,1,2))))=VALUE(MID(C43,1,2)),MONTH(DATE(M43,VALUE(MID(C43,3,2)),VALUE(MID(C43,1,2))))=VALUE(MID(C43,3,2))),DATE(M43,VALUE(MID(C43,3,2)),VALUE(MID(C43,1,2))),"")),"")</f>
        <v/>
      </c>
    </row>
    <row r="44">
      <c r="A44" s="2" t="n"/>
      <c r="B44" s="2" t="n"/>
      <c r="C44" s="3" t="n"/>
      <c r="D44" s="2" t="n"/>
      <c r="E44" s="4">
        <f>IF(A44="","",5)</f>
        <v/>
      </c>
      <c r="F44" s="2" t="n"/>
      <c r="G44" s="4" t="n"/>
      <c r="H44" s="2" t="n"/>
      <c r="I44" s="2" t="n"/>
      <c r="J44" s="2">
        <f>IF(C44="","",IF(LEN(C44)&lt;&gt;13,"Nema 13 cifara (ima "&amp;LEN(C44)&amp;")",IF(L44="","JMBG sadrži nešto što nije cifra",IF(N44="","Nepostojeći datum rođenja",IF(VALUE(MID(C44,13,1))&lt;&gt;L44,"Pogrešna kontrolna cifra - treba "&amp;L44,"✓ ispravan")))))</f>
        <v/>
      </c>
      <c r="K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L44">
        <f>IF(K44="","",IF(11-MOD(K44,11)&gt;9,0,11-MOD(K44,11)))</f>
        <v/>
      </c>
      <c r="M44">
        <f>IFERROR(IF(LEN(C44)&lt;&gt;13,"",IF(VALUE(MID(C44,5,3))&gt;=800,1000,2000)+VALUE(MID(C44,5,3))),"")</f>
        <v/>
      </c>
      <c r="N44">
        <f>IFERROR(IF(M44="","",IF(AND(DAY(DATE(M44,VALUE(MID(C44,3,2)),VALUE(MID(C44,1,2))))=VALUE(MID(C44,1,2)),MONTH(DATE(M44,VALUE(MID(C44,3,2)),VALUE(MID(C44,1,2))))=VALUE(MID(C44,3,2))),DATE(M44,VALUE(MID(C44,3,2)),VALUE(MID(C44,1,2))),"")),"")</f>
        <v/>
      </c>
    </row>
    <row r="45">
      <c r="A45" s="2" t="n"/>
      <c r="B45" s="2" t="n"/>
      <c r="C45" s="3" t="n"/>
      <c r="D45" s="2" t="n"/>
      <c r="E45" s="4">
        <f>IF(A45="","",5)</f>
        <v/>
      </c>
      <c r="F45" s="2" t="n"/>
      <c r="G45" s="4" t="n"/>
      <c r="H45" s="2" t="n"/>
      <c r="I45" s="2" t="n"/>
      <c r="J45" s="2">
        <f>IF(C45="","",IF(LEN(C45)&lt;&gt;13,"Nema 13 cifara (ima "&amp;LEN(C45)&amp;")",IF(L45="","JMBG sadrži nešto što nije cifra",IF(N45="","Nepostojeći datum rođenja",IF(VALUE(MID(C45,13,1))&lt;&gt;L45,"Pogrešna kontrolna cifra - treba "&amp;L45,"✓ ispravan")))))</f>
        <v/>
      </c>
      <c r="K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L45">
        <f>IF(K45="","",IF(11-MOD(K45,11)&gt;9,0,11-MOD(K45,11)))</f>
        <v/>
      </c>
      <c r="M45">
        <f>IFERROR(IF(LEN(C45)&lt;&gt;13,"",IF(VALUE(MID(C45,5,3))&gt;=800,1000,2000)+VALUE(MID(C45,5,3))),"")</f>
        <v/>
      </c>
      <c r="N45">
        <f>IFERROR(IF(M45="","",IF(AND(DAY(DATE(M45,VALUE(MID(C45,3,2)),VALUE(MID(C45,1,2))))=VALUE(MID(C45,1,2)),MONTH(DATE(M45,VALUE(MID(C45,3,2)),VALUE(MID(C45,1,2))))=VALUE(MID(C45,3,2))),DATE(M45,VALUE(MID(C45,3,2)),VALUE(MID(C45,1,2))),"")),"")</f>
        <v/>
      </c>
    </row>
    <row r="46">
      <c r="A46" s="2" t="n"/>
      <c r="B46" s="2" t="n"/>
      <c r="C46" s="3" t="n"/>
      <c r="D46" s="2" t="n"/>
      <c r="E46" s="4">
        <f>IF(A46="","",5)</f>
        <v/>
      </c>
      <c r="F46" s="2" t="n"/>
      <c r="G46" s="4" t="n"/>
      <c r="H46" s="2" t="n"/>
      <c r="I46" s="2" t="n"/>
      <c r="J46" s="2">
        <f>IF(C46="","",IF(LEN(C46)&lt;&gt;13,"Nema 13 cifara (ima "&amp;LEN(C46)&amp;")",IF(L46="","JMBG sadrži nešto što nije cifra",IF(N46="","Nepostojeći datum rođenja",IF(VALUE(MID(C46,13,1))&lt;&gt;L46,"Pogrešna kontrolna cifra - treba "&amp;L46,"✓ ispravan")))))</f>
        <v/>
      </c>
      <c r="K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L46">
        <f>IF(K46="","",IF(11-MOD(K46,11)&gt;9,0,11-MOD(K46,11)))</f>
        <v/>
      </c>
      <c r="M46">
        <f>IFERROR(IF(LEN(C46)&lt;&gt;13,"",IF(VALUE(MID(C46,5,3))&gt;=800,1000,2000)+VALUE(MID(C46,5,3))),"")</f>
        <v/>
      </c>
      <c r="N46">
        <f>IFERROR(IF(M46="","",IF(AND(DAY(DATE(M46,VALUE(MID(C46,3,2)),VALUE(MID(C46,1,2))))=VALUE(MID(C46,1,2)),MONTH(DATE(M46,VALUE(MID(C46,3,2)),VALUE(MID(C46,1,2))))=VALUE(MID(C46,3,2))),DATE(M46,VALUE(MID(C46,3,2)),VALUE(MID(C46,1,2))),"")),"")</f>
        <v/>
      </c>
    </row>
    <row r="47">
      <c r="A47" s="2" t="n"/>
      <c r="B47" s="2" t="n"/>
      <c r="C47" s="3" t="n"/>
      <c r="D47" s="2" t="n"/>
      <c r="E47" s="4">
        <f>IF(A47="","",5)</f>
        <v/>
      </c>
      <c r="F47" s="2" t="n"/>
      <c r="G47" s="4" t="n"/>
      <c r="H47" s="2" t="n"/>
      <c r="I47" s="2" t="n"/>
      <c r="J47" s="2">
        <f>IF(C47="","",IF(LEN(C47)&lt;&gt;13,"Nema 13 cifara (ima "&amp;LEN(C47)&amp;")",IF(L47="","JMBG sadrži nešto što nije cifra",IF(N47="","Nepostojeći datum rođenja",IF(VALUE(MID(C47,13,1))&lt;&gt;L47,"Pogrešna kontrolna cifra - treba "&amp;L47,"✓ ispravan")))))</f>
        <v/>
      </c>
      <c r="K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L47">
        <f>IF(K47="","",IF(11-MOD(K47,11)&gt;9,0,11-MOD(K47,11)))</f>
        <v/>
      </c>
      <c r="M47">
        <f>IFERROR(IF(LEN(C47)&lt;&gt;13,"",IF(VALUE(MID(C47,5,3))&gt;=800,1000,2000)+VALUE(MID(C47,5,3))),"")</f>
        <v/>
      </c>
      <c r="N47">
        <f>IFERROR(IF(M47="","",IF(AND(DAY(DATE(M47,VALUE(MID(C47,3,2)),VALUE(MID(C47,1,2))))=VALUE(MID(C47,1,2)),MONTH(DATE(M47,VALUE(MID(C47,3,2)),VALUE(MID(C47,1,2))))=VALUE(MID(C47,3,2))),DATE(M47,VALUE(MID(C47,3,2)),VALUE(MID(C47,1,2))),"")),"")</f>
        <v/>
      </c>
    </row>
    <row r="48">
      <c r="A48" s="2" t="n"/>
      <c r="B48" s="2" t="n"/>
      <c r="C48" s="3" t="n"/>
      <c r="D48" s="2" t="n"/>
      <c r="E48" s="4">
        <f>IF(A48="","",5)</f>
        <v/>
      </c>
      <c r="F48" s="2" t="n"/>
      <c r="G48" s="4" t="n"/>
      <c r="H48" s="2" t="n"/>
      <c r="I48" s="2" t="n"/>
      <c r="J48" s="2">
        <f>IF(C48="","",IF(LEN(C48)&lt;&gt;13,"Nema 13 cifara (ima "&amp;LEN(C48)&amp;")",IF(L48="","JMBG sadrži nešto što nije cifra",IF(N48="","Nepostojeći datum rođenja",IF(VALUE(MID(C48,13,1))&lt;&gt;L48,"Pogrešna kontrolna cifra - treba "&amp;L48,"✓ ispravan")))))</f>
        <v/>
      </c>
      <c r="K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L48">
        <f>IF(K48="","",IF(11-MOD(K48,11)&gt;9,0,11-MOD(K48,11)))</f>
        <v/>
      </c>
      <c r="M48">
        <f>IFERROR(IF(LEN(C48)&lt;&gt;13,"",IF(VALUE(MID(C48,5,3))&gt;=800,1000,2000)+VALUE(MID(C48,5,3))),"")</f>
        <v/>
      </c>
      <c r="N48">
        <f>IFERROR(IF(M48="","",IF(AND(DAY(DATE(M48,VALUE(MID(C48,3,2)),VALUE(MID(C48,1,2))))=VALUE(MID(C48,1,2)),MONTH(DATE(M48,VALUE(MID(C48,3,2)),VALUE(MID(C48,1,2))))=VALUE(MID(C48,3,2))),DATE(M48,VALUE(MID(C48,3,2)),VALUE(MID(C48,1,2))),"")),"")</f>
        <v/>
      </c>
    </row>
    <row r="49">
      <c r="A49" s="2" t="n"/>
      <c r="B49" s="2" t="n"/>
      <c r="C49" s="3" t="n"/>
      <c r="D49" s="2" t="n"/>
      <c r="E49" s="4">
        <f>IF(A49="","",5)</f>
        <v/>
      </c>
      <c r="F49" s="2" t="n"/>
      <c r="G49" s="4" t="n"/>
      <c r="H49" s="2" t="n"/>
      <c r="I49" s="2" t="n"/>
      <c r="J49" s="2">
        <f>IF(C49="","",IF(LEN(C49)&lt;&gt;13,"Nema 13 cifara (ima "&amp;LEN(C49)&amp;")",IF(L49="","JMBG sadrži nešto što nije cifra",IF(N49="","Nepostojeći datum rođenja",IF(VALUE(MID(C49,13,1))&lt;&gt;L49,"Pogrešna kontrolna cifra - treba "&amp;L49,"✓ ispravan")))))</f>
        <v/>
      </c>
      <c r="K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L49">
        <f>IF(K49="","",IF(11-MOD(K49,11)&gt;9,0,11-MOD(K49,11)))</f>
        <v/>
      </c>
      <c r="M49">
        <f>IFERROR(IF(LEN(C49)&lt;&gt;13,"",IF(VALUE(MID(C49,5,3))&gt;=800,1000,2000)+VALUE(MID(C49,5,3))),"")</f>
        <v/>
      </c>
      <c r="N49">
        <f>IFERROR(IF(M49="","",IF(AND(DAY(DATE(M49,VALUE(MID(C49,3,2)),VALUE(MID(C49,1,2))))=VALUE(MID(C49,1,2)),MONTH(DATE(M49,VALUE(MID(C49,3,2)),VALUE(MID(C49,1,2))))=VALUE(MID(C49,3,2))),DATE(M49,VALUE(MID(C49,3,2)),VALUE(MID(C49,1,2))),"")),"")</f>
        <v/>
      </c>
    </row>
    <row r="50">
      <c r="A50" s="2" t="n"/>
      <c r="B50" s="2" t="n"/>
      <c r="C50" s="3" t="n"/>
      <c r="D50" s="2" t="n"/>
      <c r="E50" s="4">
        <f>IF(A50="","",5)</f>
        <v/>
      </c>
      <c r="F50" s="2" t="n"/>
      <c r="G50" s="4" t="n"/>
      <c r="H50" s="2" t="n"/>
      <c r="I50" s="2" t="n"/>
      <c r="J50" s="2">
        <f>IF(C50="","",IF(LEN(C50)&lt;&gt;13,"Nema 13 cifara (ima "&amp;LEN(C50)&amp;")",IF(L50="","JMBG sadrži nešto što nije cifra",IF(N50="","Nepostojeći datum rođenja",IF(VALUE(MID(C50,13,1))&lt;&gt;L50,"Pogrešna kontrolna cifra - treba "&amp;L50,"✓ ispravan")))))</f>
        <v/>
      </c>
      <c r="K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L50">
        <f>IF(K50="","",IF(11-MOD(K50,11)&gt;9,0,11-MOD(K50,11)))</f>
        <v/>
      </c>
      <c r="M50">
        <f>IFERROR(IF(LEN(C50)&lt;&gt;13,"",IF(VALUE(MID(C50,5,3))&gt;=800,1000,2000)+VALUE(MID(C50,5,3))),"")</f>
        <v/>
      </c>
      <c r="N50">
        <f>IFERROR(IF(M50="","",IF(AND(DAY(DATE(M50,VALUE(MID(C50,3,2)),VALUE(MID(C50,1,2))))=VALUE(MID(C50,1,2)),MONTH(DATE(M50,VALUE(MID(C50,3,2)),VALUE(MID(C50,1,2))))=VALUE(MID(C50,3,2))),DATE(M50,VALUE(MID(C50,3,2)),VALUE(MID(C50,1,2))),"")),"")</f>
        <v/>
      </c>
    </row>
    <row r="51">
      <c r="A51" s="2" t="n"/>
      <c r="B51" s="2" t="n"/>
      <c r="C51" s="3" t="n"/>
      <c r="D51" s="2" t="n"/>
      <c r="E51" s="4">
        <f>IF(A51="","",5)</f>
        <v/>
      </c>
      <c r="F51" s="2" t="n"/>
      <c r="G51" s="4" t="n"/>
      <c r="H51" s="2" t="n"/>
      <c r="I51" s="2" t="n"/>
      <c r="J51" s="2">
        <f>IF(C51="","",IF(LEN(C51)&lt;&gt;13,"Nema 13 cifara (ima "&amp;LEN(C51)&amp;")",IF(L51="","JMBG sadrži nešto što nije cifra",IF(N51="","Nepostojeći datum rođenja",IF(VALUE(MID(C51,13,1))&lt;&gt;L51,"Pogrešna kontrolna cifra - treba "&amp;L51,"✓ ispravan")))))</f>
        <v/>
      </c>
      <c r="K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L51">
        <f>IF(K51="","",IF(11-MOD(K51,11)&gt;9,0,11-MOD(K51,11)))</f>
        <v/>
      </c>
      <c r="M51">
        <f>IFERROR(IF(LEN(C51)&lt;&gt;13,"",IF(VALUE(MID(C51,5,3))&gt;=800,1000,2000)+VALUE(MID(C51,5,3))),"")</f>
        <v/>
      </c>
      <c r="N51">
        <f>IFERROR(IF(M51="","",IF(AND(DAY(DATE(M51,VALUE(MID(C51,3,2)),VALUE(MID(C51,1,2))))=VALUE(MID(C51,1,2)),MONTH(DATE(M51,VALUE(MID(C51,3,2)),VALUE(MID(C51,1,2))))=VALUE(MID(C51,3,2))),DATE(M51,VALUE(MID(C51,3,2)),VALUE(MID(C51,1,2))),"")),"")</f>
        <v/>
      </c>
    </row>
    <row r="52">
      <c r="A52" s="2" t="n"/>
      <c r="B52" s="2" t="n"/>
      <c r="C52" s="3" t="n"/>
      <c r="D52" s="2" t="n"/>
      <c r="E52" s="4">
        <f>IF(A52="","",5)</f>
        <v/>
      </c>
      <c r="F52" s="2" t="n"/>
      <c r="G52" s="4" t="n"/>
      <c r="H52" s="2" t="n"/>
      <c r="I52" s="2" t="n"/>
      <c r="J52" s="2">
        <f>IF(C52="","",IF(LEN(C52)&lt;&gt;13,"Nema 13 cifara (ima "&amp;LEN(C52)&amp;")",IF(L52="","JMBG sadrži nešto što nije cifra",IF(N52="","Nepostojeći datum rođenja",IF(VALUE(MID(C52,13,1))&lt;&gt;L52,"Pogrešna kontrolna cifra - treba "&amp;L52,"✓ ispravan")))))</f>
        <v/>
      </c>
      <c r="K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L52">
        <f>IF(K52="","",IF(11-MOD(K52,11)&gt;9,0,11-MOD(K52,11)))</f>
        <v/>
      </c>
      <c r="M52">
        <f>IFERROR(IF(LEN(C52)&lt;&gt;13,"",IF(VALUE(MID(C52,5,3))&gt;=800,1000,2000)+VALUE(MID(C52,5,3))),"")</f>
        <v/>
      </c>
      <c r="N52">
        <f>IFERROR(IF(M52="","",IF(AND(DAY(DATE(M52,VALUE(MID(C52,3,2)),VALUE(MID(C52,1,2))))=VALUE(MID(C52,1,2)),MONTH(DATE(M52,VALUE(MID(C52,3,2)),VALUE(MID(C52,1,2))))=VALUE(MID(C52,3,2))),DATE(M52,VALUE(MID(C52,3,2)),VALUE(MID(C52,1,2))),"")),"")</f>
        <v/>
      </c>
    </row>
    <row r="53">
      <c r="A53" s="2" t="n"/>
      <c r="B53" s="2" t="n"/>
      <c r="C53" s="3" t="n"/>
      <c r="D53" s="2" t="n"/>
      <c r="E53" s="4">
        <f>IF(A53="","",5)</f>
        <v/>
      </c>
      <c r="F53" s="2" t="n"/>
      <c r="G53" s="4" t="n"/>
      <c r="H53" s="2" t="n"/>
      <c r="I53" s="2" t="n"/>
      <c r="J53" s="2">
        <f>IF(C53="","",IF(LEN(C53)&lt;&gt;13,"Nema 13 cifara (ima "&amp;LEN(C53)&amp;")",IF(L53="","JMBG sadrži nešto što nije cifra",IF(N53="","Nepostojeći datum rođenja",IF(VALUE(MID(C53,13,1))&lt;&gt;L53,"Pogrešna kontrolna cifra - treba "&amp;L53,"✓ ispravan")))))</f>
        <v/>
      </c>
      <c r="K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L53">
        <f>IF(K53="","",IF(11-MOD(K53,11)&gt;9,0,11-MOD(K53,11)))</f>
        <v/>
      </c>
      <c r="M53">
        <f>IFERROR(IF(LEN(C53)&lt;&gt;13,"",IF(VALUE(MID(C53,5,3))&gt;=800,1000,2000)+VALUE(MID(C53,5,3))),"")</f>
        <v/>
      </c>
      <c r="N53">
        <f>IFERROR(IF(M53="","",IF(AND(DAY(DATE(M53,VALUE(MID(C53,3,2)),VALUE(MID(C53,1,2))))=VALUE(MID(C53,1,2)),MONTH(DATE(M53,VALUE(MID(C53,3,2)),VALUE(MID(C53,1,2))))=VALUE(MID(C53,3,2))),DATE(M53,VALUE(MID(C53,3,2)),VALUE(MID(C53,1,2))),"")),"")</f>
        <v/>
      </c>
    </row>
    <row r="54">
      <c r="A54" s="2" t="n"/>
      <c r="B54" s="2" t="n"/>
      <c r="C54" s="3" t="n"/>
      <c r="D54" s="2" t="n"/>
      <c r="E54" s="4">
        <f>IF(A54="","",5)</f>
        <v/>
      </c>
      <c r="F54" s="2" t="n"/>
      <c r="G54" s="4" t="n"/>
      <c r="H54" s="2" t="n"/>
      <c r="I54" s="2" t="n"/>
      <c r="J54" s="2">
        <f>IF(C54="","",IF(LEN(C54)&lt;&gt;13,"Nema 13 cifara (ima "&amp;LEN(C54)&amp;")",IF(L54="","JMBG sadrži nešto što nije cifra",IF(N54="","Nepostojeći datum rođenja",IF(VALUE(MID(C54,13,1))&lt;&gt;L54,"Pogrešna kontrolna cifra - treba "&amp;L54,"✓ ispravan")))))</f>
        <v/>
      </c>
      <c r="K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L54">
        <f>IF(K54="","",IF(11-MOD(K54,11)&gt;9,0,11-MOD(K54,11)))</f>
        <v/>
      </c>
      <c r="M54">
        <f>IFERROR(IF(LEN(C54)&lt;&gt;13,"",IF(VALUE(MID(C54,5,3))&gt;=800,1000,2000)+VALUE(MID(C54,5,3))),"")</f>
        <v/>
      </c>
      <c r="N54">
        <f>IFERROR(IF(M54="","",IF(AND(DAY(DATE(M54,VALUE(MID(C54,3,2)),VALUE(MID(C54,1,2))))=VALUE(MID(C54,1,2)),MONTH(DATE(M54,VALUE(MID(C54,3,2)),VALUE(MID(C54,1,2))))=VALUE(MID(C54,3,2))),DATE(M54,VALUE(MID(C54,3,2)),VALUE(MID(C54,1,2))),"")),"")</f>
        <v/>
      </c>
    </row>
    <row r="55">
      <c r="A55" s="2" t="n"/>
      <c r="B55" s="2" t="n"/>
      <c r="C55" s="3" t="n"/>
      <c r="D55" s="2" t="n"/>
      <c r="E55" s="4">
        <f>IF(A55="","",5)</f>
        <v/>
      </c>
      <c r="F55" s="2" t="n"/>
      <c r="G55" s="4" t="n"/>
      <c r="H55" s="2" t="n"/>
      <c r="I55" s="2" t="n"/>
      <c r="J55" s="2">
        <f>IF(C55="","",IF(LEN(C55)&lt;&gt;13,"Nema 13 cifara (ima "&amp;LEN(C55)&amp;")",IF(L55="","JMBG sadrži nešto što nije cifra",IF(N55="","Nepostojeći datum rođenja",IF(VALUE(MID(C55,13,1))&lt;&gt;L55,"Pogrešna kontrolna cifra - treba "&amp;L55,"✓ ispravan")))))</f>
        <v/>
      </c>
      <c r="K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L55">
        <f>IF(K55="","",IF(11-MOD(K55,11)&gt;9,0,11-MOD(K55,11)))</f>
        <v/>
      </c>
      <c r="M55">
        <f>IFERROR(IF(LEN(C55)&lt;&gt;13,"",IF(VALUE(MID(C55,5,3))&gt;=800,1000,2000)+VALUE(MID(C55,5,3))),"")</f>
        <v/>
      </c>
      <c r="N55">
        <f>IFERROR(IF(M55="","",IF(AND(DAY(DATE(M55,VALUE(MID(C55,3,2)),VALUE(MID(C55,1,2))))=VALUE(MID(C55,1,2)),MONTH(DATE(M55,VALUE(MID(C55,3,2)),VALUE(MID(C55,1,2))))=VALUE(MID(C55,3,2))),DATE(M55,VALUE(MID(C55,3,2)),VALUE(MID(C55,1,2))),"")),"")</f>
        <v/>
      </c>
    </row>
    <row r="56">
      <c r="A56" s="2" t="n"/>
      <c r="B56" s="2" t="n"/>
      <c r="C56" s="3" t="n"/>
      <c r="D56" s="2" t="n"/>
      <c r="E56" s="4">
        <f>IF(A56="","",5)</f>
        <v/>
      </c>
      <c r="F56" s="2" t="n"/>
      <c r="G56" s="4" t="n"/>
      <c r="H56" s="2" t="n"/>
      <c r="I56" s="2" t="n"/>
      <c r="J56" s="2">
        <f>IF(C56="","",IF(LEN(C56)&lt;&gt;13,"Nema 13 cifara (ima "&amp;LEN(C56)&amp;")",IF(L56="","JMBG sadrži nešto što nije cifra",IF(N56="","Nepostojeći datum rođenja",IF(VALUE(MID(C56,13,1))&lt;&gt;L56,"Pogrešna kontrolna cifra - treba "&amp;L56,"✓ ispravan")))))</f>
        <v/>
      </c>
      <c r="K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L56">
        <f>IF(K56="","",IF(11-MOD(K56,11)&gt;9,0,11-MOD(K56,11)))</f>
        <v/>
      </c>
      <c r="M56">
        <f>IFERROR(IF(LEN(C56)&lt;&gt;13,"",IF(VALUE(MID(C56,5,3))&gt;=800,1000,2000)+VALUE(MID(C56,5,3))),"")</f>
        <v/>
      </c>
      <c r="N56">
        <f>IFERROR(IF(M56="","",IF(AND(DAY(DATE(M56,VALUE(MID(C56,3,2)),VALUE(MID(C56,1,2))))=VALUE(MID(C56,1,2)),MONTH(DATE(M56,VALUE(MID(C56,3,2)),VALUE(MID(C56,1,2))))=VALUE(MID(C56,3,2))),DATE(M56,VALUE(MID(C56,3,2)),VALUE(MID(C56,1,2))),"")),"")</f>
        <v/>
      </c>
    </row>
    <row r="57">
      <c r="A57" s="2" t="n"/>
      <c r="B57" s="2" t="n"/>
      <c r="C57" s="3" t="n"/>
      <c r="D57" s="2" t="n"/>
      <c r="E57" s="4">
        <f>IF(A57="","",5)</f>
        <v/>
      </c>
      <c r="F57" s="2" t="n"/>
      <c r="G57" s="4" t="n"/>
      <c r="H57" s="2" t="n"/>
      <c r="I57" s="2" t="n"/>
      <c r="J57" s="2">
        <f>IF(C57="","",IF(LEN(C57)&lt;&gt;13,"Nema 13 cifara (ima "&amp;LEN(C57)&amp;")",IF(L57="","JMBG sadrži nešto što nije cifra",IF(N57="","Nepostojeći datum rođenja",IF(VALUE(MID(C57,13,1))&lt;&gt;L57,"Pogrešna kontrolna cifra - treba "&amp;L57,"✓ ispravan")))))</f>
        <v/>
      </c>
      <c r="K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L57">
        <f>IF(K57="","",IF(11-MOD(K57,11)&gt;9,0,11-MOD(K57,11)))</f>
        <v/>
      </c>
      <c r="M57">
        <f>IFERROR(IF(LEN(C57)&lt;&gt;13,"",IF(VALUE(MID(C57,5,3))&gt;=800,1000,2000)+VALUE(MID(C57,5,3))),"")</f>
        <v/>
      </c>
      <c r="N57">
        <f>IFERROR(IF(M57="","",IF(AND(DAY(DATE(M57,VALUE(MID(C57,3,2)),VALUE(MID(C57,1,2))))=VALUE(MID(C57,1,2)),MONTH(DATE(M57,VALUE(MID(C57,3,2)),VALUE(MID(C57,1,2))))=VALUE(MID(C57,3,2))),DATE(M57,VALUE(MID(C57,3,2)),VALUE(MID(C57,1,2))),"")),"")</f>
        <v/>
      </c>
    </row>
    <row r="58">
      <c r="A58" s="2" t="n"/>
      <c r="B58" s="2" t="n"/>
      <c r="C58" s="3" t="n"/>
      <c r="D58" s="2" t="n"/>
      <c r="E58" s="4">
        <f>IF(A58="","",5)</f>
        <v/>
      </c>
      <c r="F58" s="2" t="n"/>
      <c r="G58" s="4" t="n"/>
      <c r="H58" s="2" t="n"/>
      <c r="I58" s="2" t="n"/>
      <c r="J58" s="2">
        <f>IF(C58="","",IF(LEN(C58)&lt;&gt;13,"Nema 13 cifara (ima "&amp;LEN(C58)&amp;")",IF(L58="","JMBG sadrži nešto što nije cifra",IF(N58="","Nepostojeći datum rođenja",IF(VALUE(MID(C58,13,1))&lt;&gt;L58,"Pogrešna kontrolna cifra - treba "&amp;L58,"✓ ispravan")))))</f>
        <v/>
      </c>
      <c r="K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L58">
        <f>IF(K58="","",IF(11-MOD(K58,11)&gt;9,0,11-MOD(K58,11)))</f>
        <v/>
      </c>
      <c r="M58">
        <f>IFERROR(IF(LEN(C58)&lt;&gt;13,"",IF(VALUE(MID(C58,5,3))&gt;=800,1000,2000)+VALUE(MID(C58,5,3))),"")</f>
        <v/>
      </c>
      <c r="N58">
        <f>IFERROR(IF(M58="","",IF(AND(DAY(DATE(M58,VALUE(MID(C58,3,2)),VALUE(MID(C58,1,2))))=VALUE(MID(C58,1,2)),MONTH(DATE(M58,VALUE(MID(C58,3,2)),VALUE(MID(C58,1,2))))=VALUE(MID(C58,3,2))),DATE(M58,VALUE(MID(C58,3,2)),VALUE(MID(C58,1,2))),"")),"")</f>
        <v/>
      </c>
    </row>
    <row r="59">
      <c r="A59" s="2" t="n"/>
      <c r="B59" s="2" t="n"/>
      <c r="C59" s="3" t="n"/>
      <c r="D59" s="2" t="n"/>
      <c r="E59" s="4">
        <f>IF(A59="","",5)</f>
        <v/>
      </c>
      <c r="F59" s="2" t="n"/>
      <c r="G59" s="4" t="n"/>
      <c r="H59" s="2" t="n"/>
      <c r="I59" s="2" t="n"/>
      <c r="J59" s="2">
        <f>IF(C59="","",IF(LEN(C59)&lt;&gt;13,"Nema 13 cifara (ima "&amp;LEN(C59)&amp;")",IF(L59="","JMBG sadrži nešto što nije cifra",IF(N59="","Nepostojeći datum rođenja",IF(VALUE(MID(C59,13,1))&lt;&gt;L59,"Pogrešna kontrolna cifra - treba "&amp;L59,"✓ ispravan")))))</f>
        <v/>
      </c>
      <c r="K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L59">
        <f>IF(K59="","",IF(11-MOD(K59,11)&gt;9,0,11-MOD(K59,11)))</f>
        <v/>
      </c>
      <c r="M59">
        <f>IFERROR(IF(LEN(C59)&lt;&gt;13,"",IF(VALUE(MID(C59,5,3))&gt;=800,1000,2000)+VALUE(MID(C59,5,3))),"")</f>
        <v/>
      </c>
      <c r="N59">
        <f>IFERROR(IF(M59="","",IF(AND(DAY(DATE(M59,VALUE(MID(C59,3,2)),VALUE(MID(C59,1,2))))=VALUE(MID(C59,1,2)),MONTH(DATE(M59,VALUE(MID(C59,3,2)),VALUE(MID(C59,1,2))))=VALUE(MID(C59,3,2))),DATE(M59,VALUE(MID(C59,3,2)),VALUE(MID(C59,1,2))),"")),"")</f>
        <v/>
      </c>
    </row>
    <row r="60">
      <c r="A60" s="2" t="n"/>
      <c r="B60" s="2" t="n"/>
      <c r="C60" s="3" t="n"/>
      <c r="D60" s="2" t="n"/>
      <c r="E60" s="4">
        <f>IF(A60="","",5)</f>
        <v/>
      </c>
      <c r="F60" s="2" t="n"/>
      <c r="G60" s="4" t="n"/>
      <c r="H60" s="2" t="n"/>
      <c r="I60" s="2" t="n"/>
      <c r="J60" s="2">
        <f>IF(C60="","",IF(LEN(C60)&lt;&gt;13,"Nema 13 cifara (ima "&amp;LEN(C60)&amp;")",IF(L60="","JMBG sadrži nešto što nije cifra",IF(N60="","Nepostojeći datum rođenja",IF(VALUE(MID(C60,13,1))&lt;&gt;L60,"Pogrešna kontrolna cifra - treba "&amp;L60,"✓ ispravan")))))</f>
        <v/>
      </c>
      <c r="K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L60">
        <f>IF(K60="","",IF(11-MOD(K60,11)&gt;9,0,11-MOD(K60,11)))</f>
        <v/>
      </c>
      <c r="M60">
        <f>IFERROR(IF(LEN(C60)&lt;&gt;13,"",IF(VALUE(MID(C60,5,3))&gt;=800,1000,2000)+VALUE(MID(C60,5,3))),"")</f>
        <v/>
      </c>
      <c r="N60">
        <f>IFERROR(IF(M60="","",IF(AND(DAY(DATE(M60,VALUE(MID(C60,3,2)),VALUE(MID(C60,1,2))))=VALUE(MID(C60,1,2)),MONTH(DATE(M60,VALUE(MID(C60,3,2)),VALUE(MID(C60,1,2))))=VALUE(MID(C60,3,2))),DATE(M60,VALUE(MID(C60,3,2)),VALUE(MID(C60,1,2))),"")),"")</f>
        <v/>
      </c>
    </row>
    <row r="61">
      <c r="A61" s="2" t="n"/>
      <c r="B61" s="2" t="n"/>
      <c r="C61" s="3" t="n"/>
      <c r="D61" s="2" t="n"/>
      <c r="E61" s="4">
        <f>IF(A61="","",5)</f>
        <v/>
      </c>
      <c r="F61" s="2" t="n"/>
      <c r="G61" s="4" t="n"/>
      <c r="H61" s="2" t="n"/>
      <c r="I61" s="2" t="n"/>
      <c r="J61" s="2">
        <f>IF(C61="","",IF(LEN(C61)&lt;&gt;13,"Nema 13 cifara (ima "&amp;LEN(C61)&amp;")",IF(L61="","JMBG sadrži nešto što nije cifra",IF(N61="","Nepostojeći datum rođenja",IF(VALUE(MID(C61,13,1))&lt;&gt;L61,"Pogrešna kontrolna cifra - treba "&amp;L61,"✓ ispravan")))))</f>
        <v/>
      </c>
      <c r="K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L61">
        <f>IF(K61="","",IF(11-MOD(K61,11)&gt;9,0,11-MOD(K61,11)))</f>
        <v/>
      </c>
      <c r="M61">
        <f>IFERROR(IF(LEN(C61)&lt;&gt;13,"",IF(VALUE(MID(C61,5,3))&gt;=800,1000,2000)+VALUE(MID(C61,5,3))),"")</f>
        <v/>
      </c>
      <c r="N61">
        <f>IFERROR(IF(M61="","",IF(AND(DAY(DATE(M61,VALUE(MID(C61,3,2)),VALUE(MID(C61,1,2))))=VALUE(MID(C61,1,2)),MONTH(DATE(M61,VALUE(MID(C61,3,2)),VALUE(MID(C61,1,2))))=VALUE(MID(C61,3,2))),DATE(M61,VALUE(MID(C61,3,2)),VALUE(MID(C61,1,2))),"")),"")</f>
        <v/>
      </c>
    </row>
    <row r="62">
      <c r="A62" s="2" t="n"/>
      <c r="B62" s="2" t="n"/>
      <c r="C62" s="3" t="n"/>
      <c r="D62" s="2" t="n"/>
      <c r="E62" s="4">
        <f>IF(A62="","",5)</f>
        <v/>
      </c>
      <c r="F62" s="2" t="n"/>
      <c r="G62" s="4" t="n"/>
      <c r="H62" s="2" t="n"/>
      <c r="I62" s="2" t="n"/>
      <c r="J62" s="2">
        <f>IF(C62="","",IF(LEN(C62)&lt;&gt;13,"Nema 13 cifara (ima "&amp;LEN(C62)&amp;")",IF(L62="","JMBG sadrži nešto što nije cifra",IF(N62="","Nepostojeći datum rođenja",IF(VALUE(MID(C62,13,1))&lt;&gt;L62,"Pogrešna kontrolna cifra - treba "&amp;L62,"✓ ispravan")))))</f>
        <v/>
      </c>
      <c r="K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L62">
        <f>IF(K62="","",IF(11-MOD(K62,11)&gt;9,0,11-MOD(K62,11)))</f>
        <v/>
      </c>
      <c r="M62">
        <f>IFERROR(IF(LEN(C62)&lt;&gt;13,"",IF(VALUE(MID(C62,5,3))&gt;=800,1000,2000)+VALUE(MID(C62,5,3))),"")</f>
        <v/>
      </c>
      <c r="N62">
        <f>IFERROR(IF(M62="","",IF(AND(DAY(DATE(M62,VALUE(MID(C62,3,2)),VALUE(MID(C62,1,2))))=VALUE(MID(C62,1,2)),MONTH(DATE(M62,VALUE(MID(C62,3,2)),VALUE(MID(C62,1,2))))=VALUE(MID(C62,3,2))),DATE(M62,VALUE(MID(C62,3,2)),VALUE(MID(C62,1,2))),"")),"")</f>
        <v/>
      </c>
    </row>
    <row r="63">
      <c r="A63" s="2" t="n"/>
      <c r="B63" s="2" t="n"/>
      <c r="C63" s="3" t="n"/>
      <c r="D63" s="2" t="n"/>
      <c r="E63" s="4">
        <f>IF(A63="","",5)</f>
        <v/>
      </c>
      <c r="F63" s="2" t="n"/>
      <c r="G63" s="4" t="n"/>
      <c r="H63" s="2" t="n"/>
      <c r="I63" s="2" t="n"/>
      <c r="J63" s="2">
        <f>IF(C63="","",IF(LEN(C63)&lt;&gt;13,"Nema 13 cifara (ima "&amp;LEN(C63)&amp;")",IF(L63="","JMBG sadrži nešto što nije cifra",IF(N63="","Nepostojeći datum rođenja",IF(VALUE(MID(C63,13,1))&lt;&gt;L63,"Pogrešna kontrolna cifra - treba "&amp;L63,"✓ ispravan")))))</f>
        <v/>
      </c>
      <c r="K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L63">
        <f>IF(K63="","",IF(11-MOD(K63,11)&gt;9,0,11-MOD(K63,11)))</f>
        <v/>
      </c>
      <c r="M63">
        <f>IFERROR(IF(LEN(C63)&lt;&gt;13,"",IF(VALUE(MID(C63,5,3))&gt;=800,1000,2000)+VALUE(MID(C63,5,3))),"")</f>
        <v/>
      </c>
      <c r="N63">
        <f>IFERROR(IF(M63="","",IF(AND(DAY(DATE(M63,VALUE(MID(C63,3,2)),VALUE(MID(C63,1,2))))=VALUE(MID(C63,1,2)),MONTH(DATE(M63,VALUE(MID(C63,3,2)),VALUE(MID(C63,1,2))))=VALUE(MID(C63,3,2))),DATE(M63,VALUE(MID(C63,3,2)),VALUE(MID(C63,1,2))),"")),"")</f>
        <v/>
      </c>
    </row>
    <row r="64">
      <c r="A64" s="2" t="n"/>
      <c r="B64" s="2" t="n"/>
      <c r="C64" s="3" t="n"/>
      <c r="D64" s="2" t="n"/>
      <c r="E64" s="4">
        <f>IF(A64="","",5)</f>
        <v/>
      </c>
      <c r="F64" s="2" t="n"/>
      <c r="G64" s="4" t="n"/>
      <c r="H64" s="2" t="n"/>
      <c r="I64" s="2" t="n"/>
      <c r="J64" s="2">
        <f>IF(C64="","",IF(LEN(C64)&lt;&gt;13,"Nema 13 cifara (ima "&amp;LEN(C64)&amp;")",IF(L64="","JMBG sadrži nešto što nije cifra",IF(N64="","Nepostojeći datum rođenja",IF(VALUE(MID(C64,13,1))&lt;&gt;L64,"Pogrešna kontrolna cifra - treba "&amp;L64,"✓ ispravan")))))</f>
        <v/>
      </c>
      <c r="K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L64">
        <f>IF(K64="","",IF(11-MOD(K64,11)&gt;9,0,11-MOD(K64,11)))</f>
        <v/>
      </c>
      <c r="M64">
        <f>IFERROR(IF(LEN(C64)&lt;&gt;13,"",IF(VALUE(MID(C64,5,3))&gt;=800,1000,2000)+VALUE(MID(C64,5,3))),"")</f>
        <v/>
      </c>
      <c r="N64">
        <f>IFERROR(IF(M64="","",IF(AND(DAY(DATE(M64,VALUE(MID(C64,3,2)),VALUE(MID(C64,1,2))))=VALUE(MID(C64,1,2)),MONTH(DATE(M64,VALUE(MID(C64,3,2)),VALUE(MID(C64,1,2))))=VALUE(MID(C64,3,2))),DATE(M64,VALUE(MID(C64,3,2)),VALUE(MID(C64,1,2))),"")),"")</f>
        <v/>
      </c>
    </row>
    <row r="65">
      <c r="A65" s="2" t="n"/>
      <c r="B65" s="2" t="n"/>
      <c r="C65" s="3" t="n"/>
      <c r="D65" s="2" t="n"/>
      <c r="E65" s="4">
        <f>IF(A65="","",5)</f>
        <v/>
      </c>
      <c r="F65" s="2" t="n"/>
      <c r="G65" s="4" t="n"/>
      <c r="H65" s="2" t="n"/>
      <c r="I65" s="2" t="n"/>
      <c r="J65" s="2">
        <f>IF(C65="","",IF(LEN(C65)&lt;&gt;13,"Nema 13 cifara (ima "&amp;LEN(C65)&amp;")",IF(L65="","JMBG sadrži nešto što nije cifra",IF(N65="","Nepostojeći datum rođenja",IF(VALUE(MID(C65,13,1))&lt;&gt;L65,"Pogrešna kontrolna cifra - treba "&amp;L65,"✓ ispravan")))))</f>
        <v/>
      </c>
      <c r="K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L65">
        <f>IF(K65="","",IF(11-MOD(K65,11)&gt;9,0,11-MOD(K65,11)))</f>
        <v/>
      </c>
      <c r="M65">
        <f>IFERROR(IF(LEN(C65)&lt;&gt;13,"",IF(VALUE(MID(C65,5,3))&gt;=800,1000,2000)+VALUE(MID(C65,5,3))),"")</f>
        <v/>
      </c>
      <c r="N65">
        <f>IFERROR(IF(M65="","",IF(AND(DAY(DATE(M65,VALUE(MID(C65,3,2)),VALUE(MID(C65,1,2))))=VALUE(MID(C65,1,2)),MONTH(DATE(M65,VALUE(MID(C65,3,2)),VALUE(MID(C65,1,2))))=VALUE(MID(C65,3,2))),DATE(M65,VALUE(MID(C65,3,2)),VALUE(MID(C65,1,2))),"")),"")</f>
        <v/>
      </c>
    </row>
    <row r="66">
      <c r="A66" s="2" t="n"/>
      <c r="B66" s="2" t="n"/>
      <c r="C66" s="3" t="n"/>
      <c r="D66" s="2" t="n"/>
      <c r="E66" s="4">
        <f>IF(A66="","",5)</f>
        <v/>
      </c>
      <c r="F66" s="2" t="n"/>
      <c r="G66" s="4" t="n"/>
      <c r="H66" s="2" t="n"/>
      <c r="I66" s="2" t="n"/>
      <c r="J66" s="2">
        <f>IF(C66="","",IF(LEN(C66)&lt;&gt;13,"Nema 13 cifara (ima "&amp;LEN(C66)&amp;")",IF(L66="","JMBG sadrži nešto što nije cifra",IF(N66="","Nepostojeći datum rođenja",IF(VALUE(MID(C66,13,1))&lt;&gt;L66,"Pogrešna kontrolna cifra - treba "&amp;L66,"✓ ispravan")))))</f>
        <v/>
      </c>
      <c r="K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L66">
        <f>IF(K66="","",IF(11-MOD(K66,11)&gt;9,0,11-MOD(K66,11)))</f>
        <v/>
      </c>
      <c r="M66">
        <f>IFERROR(IF(LEN(C66)&lt;&gt;13,"",IF(VALUE(MID(C66,5,3))&gt;=800,1000,2000)+VALUE(MID(C66,5,3))),"")</f>
        <v/>
      </c>
      <c r="N66">
        <f>IFERROR(IF(M66="","",IF(AND(DAY(DATE(M66,VALUE(MID(C66,3,2)),VALUE(MID(C66,1,2))))=VALUE(MID(C66,1,2)),MONTH(DATE(M66,VALUE(MID(C66,3,2)),VALUE(MID(C66,1,2))))=VALUE(MID(C66,3,2))),DATE(M66,VALUE(MID(C66,3,2)),VALUE(MID(C66,1,2))),"")),"")</f>
        <v/>
      </c>
    </row>
    <row r="67">
      <c r="A67" s="2" t="n"/>
      <c r="B67" s="2" t="n"/>
      <c r="C67" s="3" t="n"/>
      <c r="D67" s="2" t="n"/>
      <c r="E67" s="4">
        <f>IF(A67="","",5)</f>
        <v/>
      </c>
      <c r="F67" s="2" t="n"/>
      <c r="G67" s="4" t="n"/>
      <c r="H67" s="2" t="n"/>
      <c r="I67" s="2" t="n"/>
      <c r="J67" s="2">
        <f>IF(C67="","",IF(LEN(C67)&lt;&gt;13,"Nema 13 cifara (ima "&amp;LEN(C67)&amp;")",IF(L67="","JMBG sadrži nešto što nije cifra",IF(N67="","Nepostojeći datum rođenja",IF(VALUE(MID(C67,13,1))&lt;&gt;L67,"Pogrešna kontrolna cifra - treba "&amp;L67,"✓ ispravan")))))</f>
        <v/>
      </c>
      <c r="K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L67">
        <f>IF(K67="","",IF(11-MOD(K67,11)&gt;9,0,11-MOD(K67,11)))</f>
        <v/>
      </c>
      <c r="M67">
        <f>IFERROR(IF(LEN(C67)&lt;&gt;13,"",IF(VALUE(MID(C67,5,3))&gt;=800,1000,2000)+VALUE(MID(C67,5,3))),"")</f>
        <v/>
      </c>
      <c r="N67">
        <f>IFERROR(IF(M67="","",IF(AND(DAY(DATE(M67,VALUE(MID(C67,3,2)),VALUE(MID(C67,1,2))))=VALUE(MID(C67,1,2)),MONTH(DATE(M67,VALUE(MID(C67,3,2)),VALUE(MID(C67,1,2))))=VALUE(MID(C67,3,2))),DATE(M67,VALUE(MID(C67,3,2)),VALUE(MID(C67,1,2))),"")),"")</f>
        <v/>
      </c>
    </row>
    <row r="68">
      <c r="A68" s="2" t="n"/>
      <c r="B68" s="2" t="n"/>
      <c r="C68" s="3" t="n"/>
      <c r="D68" s="2" t="n"/>
      <c r="E68" s="4">
        <f>IF(A68="","",5)</f>
        <v/>
      </c>
      <c r="F68" s="2" t="n"/>
      <c r="G68" s="4" t="n"/>
      <c r="H68" s="2" t="n"/>
      <c r="I68" s="2" t="n"/>
      <c r="J68" s="2">
        <f>IF(C68="","",IF(LEN(C68)&lt;&gt;13,"Nema 13 cifara (ima "&amp;LEN(C68)&amp;")",IF(L68="","JMBG sadrži nešto što nije cifra",IF(N68="","Nepostojeći datum rođenja",IF(VALUE(MID(C68,13,1))&lt;&gt;L68,"Pogrešna kontrolna cifra - treba "&amp;L68,"✓ ispravan")))))</f>
        <v/>
      </c>
      <c r="K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L68">
        <f>IF(K68="","",IF(11-MOD(K68,11)&gt;9,0,11-MOD(K68,11)))</f>
        <v/>
      </c>
      <c r="M68">
        <f>IFERROR(IF(LEN(C68)&lt;&gt;13,"",IF(VALUE(MID(C68,5,3))&gt;=800,1000,2000)+VALUE(MID(C68,5,3))),"")</f>
        <v/>
      </c>
      <c r="N68">
        <f>IFERROR(IF(M68="","",IF(AND(DAY(DATE(M68,VALUE(MID(C68,3,2)),VALUE(MID(C68,1,2))))=VALUE(MID(C68,1,2)),MONTH(DATE(M68,VALUE(MID(C68,3,2)),VALUE(MID(C68,1,2))))=VALUE(MID(C68,3,2))),DATE(M68,VALUE(MID(C68,3,2)),VALUE(MID(C68,1,2))),"")),"")</f>
        <v/>
      </c>
    </row>
    <row r="69">
      <c r="A69" s="2" t="n"/>
      <c r="B69" s="2" t="n"/>
      <c r="C69" s="3" t="n"/>
      <c r="D69" s="2" t="n"/>
      <c r="E69" s="4">
        <f>IF(A69="","",5)</f>
        <v/>
      </c>
      <c r="F69" s="2" t="n"/>
      <c r="G69" s="4" t="n"/>
      <c r="H69" s="2" t="n"/>
      <c r="I69" s="2" t="n"/>
      <c r="J69" s="2">
        <f>IF(C69="","",IF(LEN(C69)&lt;&gt;13,"Nema 13 cifara (ima "&amp;LEN(C69)&amp;")",IF(L69="","JMBG sadrži nešto što nije cifra",IF(N69="","Nepostojeći datum rođenja",IF(VALUE(MID(C69,13,1))&lt;&gt;L69,"Pogrešna kontrolna cifra - treba "&amp;L69,"✓ ispravan")))))</f>
        <v/>
      </c>
      <c r="K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L69">
        <f>IF(K69="","",IF(11-MOD(K69,11)&gt;9,0,11-MOD(K69,11)))</f>
        <v/>
      </c>
      <c r="M69">
        <f>IFERROR(IF(LEN(C69)&lt;&gt;13,"",IF(VALUE(MID(C69,5,3))&gt;=800,1000,2000)+VALUE(MID(C69,5,3))),"")</f>
        <v/>
      </c>
      <c r="N69">
        <f>IFERROR(IF(M69="","",IF(AND(DAY(DATE(M69,VALUE(MID(C69,3,2)),VALUE(MID(C69,1,2))))=VALUE(MID(C69,1,2)),MONTH(DATE(M69,VALUE(MID(C69,3,2)),VALUE(MID(C69,1,2))))=VALUE(MID(C69,3,2))),DATE(M69,VALUE(MID(C69,3,2)),VALUE(MID(C69,1,2))),"")),"")</f>
        <v/>
      </c>
    </row>
    <row r="70">
      <c r="A70" s="2" t="n"/>
      <c r="B70" s="2" t="n"/>
      <c r="C70" s="3" t="n"/>
      <c r="D70" s="2" t="n"/>
      <c r="E70" s="4">
        <f>IF(A70="","",5)</f>
        <v/>
      </c>
      <c r="F70" s="2" t="n"/>
      <c r="G70" s="4" t="n"/>
      <c r="H70" s="2" t="n"/>
      <c r="I70" s="2" t="n"/>
      <c r="J70" s="2">
        <f>IF(C70="","",IF(LEN(C70)&lt;&gt;13,"Nema 13 cifara (ima "&amp;LEN(C70)&amp;")",IF(L70="","JMBG sadrži nešto što nije cifra",IF(N70="","Nepostojeći datum rođenja",IF(VALUE(MID(C70,13,1))&lt;&gt;L70,"Pogrešna kontrolna cifra - treba "&amp;L70,"✓ ispravan")))))</f>
        <v/>
      </c>
      <c r="K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L70">
        <f>IF(K70="","",IF(11-MOD(K70,11)&gt;9,0,11-MOD(K70,11)))</f>
        <v/>
      </c>
      <c r="M70">
        <f>IFERROR(IF(LEN(C70)&lt;&gt;13,"",IF(VALUE(MID(C70,5,3))&gt;=800,1000,2000)+VALUE(MID(C70,5,3))),"")</f>
        <v/>
      </c>
      <c r="N70">
        <f>IFERROR(IF(M70="","",IF(AND(DAY(DATE(M70,VALUE(MID(C70,3,2)),VALUE(MID(C70,1,2))))=VALUE(MID(C70,1,2)),MONTH(DATE(M70,VALUE(MID(C70,3,2)),VALUE(MID(C70,1,2))))=VALUE(MID(C70,3,2))),DATE(M70,VALUE(MID(C70,3,2)),VALUE(MID(C70,1,2))),"")),"")</f>
        <v/>
      </c>
    </row>
    <row r="71">
      <c r="A71" s="2" t="n"/>
      <c r="B71" s="2" t="n"/>
      <c r="C71" s="3" t="n"/>
      <c r="D71" s="2" t="n"/>
      <c r="E71" s="4">
        <f>IF(A71="","",5)</f>
        <v/>
      </c>
      <c r="F71" s="2" t="n"/>
      <c r="G71" s="4" t="n"/>
      <c r="H71" s="2" t="n"/>
      <c r="I71" s="2" t="n"/>
      <c r="J71" s="2">
        <f>IF(C71="","",IF(LEN(C71)&lt;&gt;13,"Nema 13 cifara (ima "&amp;LEN(C71)&amp;")",IF(L71="","JMBG sadrži nešto što nije cifra",IF(N71="","Nepostojeći datum rođenja",IF(VALUE(MID(C71,13,1))&lt;&gt;L71,"Pogrešna kontrolna cifra - treba "&amp;L71,"✓ ispravan")))))</f>
        <v/>
      </c>
      <c r="K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L71">
        <f>IF(K71="","",IF(11-MOD(K71,11)&gt;9,0,11-MOD(K71,11)))</f>
        <v/>
      </c>
      <c r="M71">
        <f>IFERROR(IF(LEN(C71)&lt;&gt;13,"",IF(VALUE(MID(C71,5,3))&gt;=800,1000,2000)+VALUE(MID(C71,5,3))),"")</f>
        <v/>
      </c>
      <c r="N71">
        <f>IFERROR(IF(M71="","",IF(AND(DAY(DATE(M71,VALUE(MID(C71,3,2)),VALUE(MID(C71,1,2))))=VALUE(MID(C71,1,2)),MONTH(DATE(M71,VALUE(MID(C71,3,2)),VALUE(MID(C71,1,2))))=VALUE(MID(C71,3,2))),DATE(M71,VALUE(MID(C71,3,2)),VALUE(MID(C71,1,2))),"")),"")</f>
        <v/>
      </c>
    </row>
    <row r="72">
      <c r="A72" s="2" t="n"/>
      <c r="B72" s="2" t="n"/>
      <c r="C72" s="3" t="n"/>
      <c r="D72" s="2" t="n"/>
      <c r="E72" s="4">
        <f>IF(A72="","",5)</f>
        <v/>
      </c>
      <c r="F72" s="2" t="n"/>
      <c r="G72" s="4" t="n"/>
      <c r="H72" s="2" t="n"/>
      <c r="I72" s="2" t="n"/>
      <c r="J72" s="2">
        <f>IF(C72="","",IF(LEN(C72)&lt;&gt;13,"Nema 13 cifara (ima "&amp;LEN(C72)&amp;")",IF(L72="","JMBG sadrži nešto što nije cifra",IF(N72="","Nepostojeći datum rođenja",IF(VALUE(MID(C72,13,1))&lt;&gt;L72,"Pogrešna kontrolna cifra - treba "&amp;L72,"✓ ispravan")))))</f>
        <v/>
      </c>
      <c r="K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L72">
        <f>IF(K72="","",IF(11-MOD(K72,11)&gt;9,0,11-MOD(K72,11)))</f>
        <v/>
      </c>
      <c r="M72">
        <f>IFERROR(IF(LEN(C72)&lt;&gt;13,"",IF(VALUE(MID(C72,5,3))&gt;=800,1000,2000)+VALUE(MID(C72,5,3))),"")</f>
        <v/>
      </c>
      <c r="N72">
        <f>IFERROR(IF(M72="","",IF(AND(DAY(DATE(M72,VALUE(MID(C72,3,2)),VALUE(MID(C72,1,2))))=VALUE(MID(C72,1,2)),MONTH(DATE(M72,VALUE(MID(C72,3,2)),VALUE(MID(C72,1,2))))=VALUE(MID(C72,3,2))),DATE(M72,VALUE(MID(C72,3,2)),VALUE(MID(C72,1,2))),"")),"")</f>
        <v/>
      </c>
    </row>
    <row r="73">
      <c r="A73" s="2" t="n"/>
      <c r="B73" s="2" t="n"/>
      <c r="C73" s="3" t="n"/>
      <c r="D73" s="2" t="n"/>
      <c r="E73" s="4">
        <f>IF(A73="","",5)</f>
        <v/>
      </c>
      <c r="F73" s="2" t="n"/>
      <c r="G73" s="4" t="n"/>
      <c r="H73" s="2" t="n"/>
      <c r="I73" s="2" t="n"/>
      <c r="J73" s="2">
        <f>IF(C73="","",IF(LEN(C73)&lt;&gt;13,"Nema 13 cifara (ima "&amp;LEN(C73)&amp;")",IF(L73="","JMBG sadrži nešto što nije cifra",IF(N73="","Nepostojeći datum rođenja",IF(VALUE(MID(C73,13,1))&lt;&gt;L73,"Pogrešna kontrolna cifra - treba "&amp;L73,"✓ ispravan")))))</f>
        <v/>
      </c>
      <c r="K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L73">
        <f>IF(K73="","",IF(11-MOD(K73,11)&gt;9,0,11-MOD(K73,11)))</f>
        <v/>
      </c>
      <c r="M73">
        <f>IFERROR(IF(LEN(C73)&lt;&gt;13,"",IF(VALUE(MID(C73,5,3))&gt;=800,1000,2000)+VALUE(MID(C73,5,3))),"")</f>
        <v/>
      </c>
      <c r="N73">
        <f>IFERROR(IF(M73="","",IF(AND(DAY(DATE(M73,VALUE(MID(C73,3,2)),VALUE(MID(C73,1,2))))=VALUE(MID(C73,1,2)),MONTH(DATE(M73,VALUE(MID(C73,3,2)),VALUE(MID(C73,1,2))))=VALUE(MID(C73,3,2))),DATE(M73,VALUE(MID(C73,3,2)),VALUE(MID(C73,1,2))),"")),"")</f>
        <v/>
      </c>
    </row>
    <row r="74">
      <c r="A74" s="2" t="n"/>
      <c r="B74" s="2" t="n"/>
      <c r="C74" s="3" t="n"/>
      <c r="D74" s="2" t="n"/>
      <c r="E74" s="4">
        <f>IF(A74="","",5)</f>
        <v/>
      </c>
      <c r="F74" s="2" t="n"/>
      <c r="G74" s="4" t="n"/>
      <c r="H74" s="2" t="n"/>
      <c r="I74" s="2" t="n"/>
      <c r="J74" s="2">
        <f>IF(C74="","",IF(LEN(C74)&lt;&gt;13,"Nema 13 cifara (ima "&amp;LEN(C74)&amp;")",IF(L74="","JMBG sadrži nešto što nije cifra",IF(N74="","Nepostojeći datum rođenja",IF(VALUE(MID(C74,13,1))&lt;&gt;L74,"Pogrešna kontrolna cifra - treba "&amp;L74,"✓ ispravan")))))</f>
        <v/>
      </c>
      <c r="K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L74">
        <f>IF(K74="","",IF(11-MOD(K74,11)&gt;9,0,11-MOD(K74,11)))</f>
        <v/>
      </c>
      <c r="M74">
        <f>IFERROR(IF(LEN(C74)&lt;&gt;13,"",IF(VALUE(MID(C74,5,3))&gt;=800,1000,2000)+VALUE(MID(C74,5,3))),"")</f>
        <v/>
      </c>
      <c r="N74">
        <f>IFERROR(IF(M74="","",IF(AND(DAY(DATE(M74,VALUE(MID(C74,3,2)),VALUE(MID(C74,1,2))))=VALUE(MID(C74,1,2)),MONTH(DATE(M74,VALUE(MID(C74,3,2)),VALUE(MID(C74,1,2))))=VALUE(MID(C74,3,2))),DATE(M74,VALUE(MID(C74,3,2)),VALUE(MID(C74,1,2))),"")),"")</f>
        <v/>
      </c>
    </row>
    <row r="75">
      <c r="A75" s="2" t="n"/>
      <c r="B75" s="2" t="n"/>
      <c r="C75" s="3" t="n"/>
      <c r="D75" s="2" t="n"/>
      <c r="E75" s="4">
        <f>IF(A75="","",5)</f>
        <v/>
      </c>
      <c r="F75" s="2" t="n"/>
      <c r="G75" s="4" t="n"/>
      <c r="H75" s="2" t="n"/>
      <c r="I75" s="2" t="n"/>
      <c r="J75" s="2">
        <f>IF(C75="","",IF(LEN(C75)&lt;&gt;13,"Nema 13 cifara (ima "&amp;LEN(C75)&amp;")",IF(L75="","JMBG sadrži nešto što nije cifra",IF(N75="","Nepostojeći datum rođenja",IF(VALUE(MID(C75,13,1))&lt;&gt;L75,"Pogrešna kontrolna cifra - treba "&amp;L75,"✓ ispravan")))))</f>
        <v/>
      </c>
      <c r="K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L75">
        <f>IF(K75="","",IF(11-MOD(K75,11)&gt;9,0,11-MOD(K75,11)))</f>
        <v/>
      </c>
      <c r="M75">
        <f>IFERROR(IF(LEN(C75)&lt;&gt;13,"",IF(VALUE(MID(C75,5,3))&gt;=800,1000,2000)+VALUE(MID(C75,5,3))),"")</f>
        <v/>
      </c>
      <c r="N75">
        <f>IFERROR(IF(M75="","",IF(AND(DAY(DATE(M75,VALUE(MID(C75,3,2)),VALUE(MID(C75,1,2))))=VALUE(MID(C75,1,2)),MONTH(DATE(M75,VALUE(MID(C75,3,2)),VALUE(MID(C75,1,2))))=VALUE(MID(C75,3,2))),DATE(M75,VALUE(MID(C75,3,2)),VALUE(MID(C75,1,2))),"")),"")</f>
        <v/>
      </c>
    </row>
    <row r="76">
      <c r="A76" s="2" t="n"/>
      <c r="B76" s="2" t="n"/>
      <c r="C76" s="3" t="n"/>
      <c r="D76" s="2" t="n"/>
      <c r="E76" s="4">
        <f>IF(A76="","",5)</f>
        <v/>
      </c>
      <c r="F76" s="2" t="n"/>
      <c r="G76" s="4" t="n"/>
      <c r="H76" s="2" t="n"/>
      <c r="I76" s="2" t="n"/>
      <c r="J76" s="2">
        <f>IF(C76="","",IF(LEN(C76)&lt;&gt;13,"Nema 13 cifara (ima "&amp;LEN(C76)&amp;")",IF(L76="","JMBG sadrži nešto što nije cifra",IF(N76="","Nepostojeći datum rođenja",IF(VALUE(MID(C76,13,1))&lt;&gt;L76,"Pogrešna kontrolna cifra - treba "&amp;L76,"✓ ispravan")))))</f>
        <v/>
      </c>
      <c r="K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L76">
        <f>IF(K76="","",IF(11-MOD(K76,11)&gt;9,0,11-MOD(K76,11)))</f>
        <v/>
      </c>
      <c r="M76">
        <f>IFERROR(IF(LEN(C76)&lt;&gt;13,"",IF(VALUE(MID(C76,5,3))&gt;=800,1000,2000)+VALUE(MID(C76,5,3))),"")</f>
        <v/>
      </c>
      <c r="N76">
        <f>IFERROR(IF(M76="","",IF(AND(DAY(DATE(M76,VALUE(MID(C76,3,2)),VALUE(MID(C76,1,2))))=VALUE(MID(C76,1,2)),MONTH(DATE(M76,VALUE(MID(C76,3,2)),VALUE(MID(C76,1,2))))=VALUE(MID(C76,3,2))),DATE(M76,VALUE(MID(C76,3,2)),VALUE(MID(C76,1,2))),"")),"")</f>
        <v/>
      </c>
    </row>
    <row r="77">
      <c r="A77" s="2" t="n"/>
      <c r="B77" s="2" t="n"/>
      <c r="C77" s="3" t="n"/>
      <c r="D77" s="2" t="n"/>
      <c r="E77" s="4">
        <f>IF(A77="","",5)</f>
        <v/>
      </c>
      <c r="F77" s="2" t="n"/>
      <c r="G77" s="4" t="n"/>
      <c r="H77" s="2" t="n"/>
      <c r="I77" s="2" t="n"/>
      <c r="J77" s="2">
        <f>IF(C77="","",IF(LEN(C77)&lt;&gt;13,"Nema 13 cifara (ima "&amp;LEN(C77)&amp;")",IF(L77="","JMBG sadrži nešto što nije cifra",IF(N77="","Nepostojeći datum rođenja",IF(VALUE(MID(C77,13,1))&lt;&gt;L77,"Pogrešna kontrolna cifra - treba "&amp;L77,"✓ ispravan")))))</f>
        <v/>
      </c>
      <c r="K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L77">
        <f>IF(K77="","",IF(11-MOD(K77,11)&gt;9,0,11-MOD(K77,11)))</f>
        <v/>
      </c>
      <c r="M77">
        <f>IFERROR(IF(LEN(C77)&lt;&gt;13,"",IF(VALUE(MID(C77,5,3))&gt;=800,1000,2000)+VALUE(MID(C77,5,3))),"")</f>
        <v/>
      </c>
      <c r="N77">
        <f>IFERROR(IF(M77="","",IF(AND(DAY(DATE(M77,VALUE(MID(C77,3,2)),VALUE(MID(C77,1,2))))=VALUE(MID(C77,1,2)),MONTH(DATE(M77,VALUE(MID(C77,3,2)),VALUE(MID(C77,1,2))))=VALUE(MID(C77,3,2))),DATE(M77,VALUE(MID(C77,3,2)),VALUE(MID(C77,1,2))),"")),"")</f>
        <v/>
      </c>
    </row>
    <row r="78">
      <c r="A78" s="2" t="n"/>
      <c r="B78" s="2" t="n"/>
      <c r="C78" s="3" t="n"/>
      <c r="D78" s="2" t="n"/>
      <c r="E78" s="4">
        <f>IF(A78="","",5)</f>
        <v/>
      </c>
      <c r="F78" s="2" t="n"/>
      <c r="G78" s="4" t="n"/>
      <c r="H78" s="2" t="n"/>
      <c r="I78" s="2" t="n"/>
      <c r="J78" s="2">
        <f>IF(C78="","",IF(LEN(C78)&lt;&gt;13,"Nema 13 cifara (ima "&amp;LEN(C78)&amp;")",IF(L78="","JMBG sadrži nešto što nije cifra",IF(N78="","Nepostojeći datum rođenja",IF(VALUE(MID(C78,13,1))&lt;&gt;L78,"Pogrešna kontrolna cifra - treba "&amp;L78,"✓ ispravan")))))</f>
        <v/>
      </c>
      <c r="K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L78">
        <f>IF(K78="","",IF(11-MOD(K78,11)&gt;9,0,11-MOD(K78,11)))</f>
        <v/>
      </c>
      <c r="M78">
        <f>IFERROR(IF(LEN(C78)&lt;&gt;13,"",IF(VALUE(MID(C78,5,3))&gt;=800,1000,2000)+VALUE(MID(C78,5,3))),"")</f>
        <v/>
      </c>
      <c r="N78">
        <f>IFERROR(IF(M78="","",IF(AND(DAY(DATE(M78,VALUE(MID(C78,3,2)),VALUE(MID(C78,1,2))))=VALUE(MID(C78,1,2)),MONTH(DATE(M78,VALUE(MID(C78,3,2)),VALUE(MID(C78,1,2))))=VALUE(MID(C78,3,2))),DATE(M78,VALUE(MID(C78,3,2)),VALUE(MID(C78,1,2))),"")),"")</f>
        <v/>
      </c>
    </row>
    <row r="79">
      <c r="A79" s="2" t="n"/>
      <c r="B79" s="2" t="n"/>
      <c r="C79" s="3" t="n"/>
      <c r="D79" s="2" t="n"/>
      <c r="E79" s="4">
        <f>IF(A79="","",5)</f>
        <v/>
      </c>
      <c r="F79" s="2" t="n"/>
      <c r="G79" s="4" t="n"/>
      <c r="H79" s="2" t="n"/>
      <c r="I79" s="2" t="n"/>
      <c r="J79" s="2">
        <f>IF(C79="","",IF(LEN(C79)&lt;&gt;13,"Nema 13 cifara (ima "&amp;LEN(C79)&amp;")",IF(L79="","JMBG sadrži nešto što nije cifra",IF(N79="","Nepostojeći datum rođenja",IF(VALUE(MID(C79,13,1))&lt;&gt;L79,"Pogrešna kontrolna cifra - treba "&amp;L79,"✓ ispravan")))))</f>
        <v/>
      </c>
      <c r="K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L79">
        <f>IF(K79="","",IF(11-MOD(K79,11)&gt;9,0,11-MOD(K79,11)))</f>
        <v/>
      </c>
      <c r="M79">
        <f>IFERROR(IF(LEN(C79)&lt;&gt;13,"",IF(VALUE(MID(C79,5,3))&gt;=800,1000,2000)+VALUE(MID(C79,5,3))),"")</f>
        <v/>
      </c>
      <c r="N79">
        <f>IFERROR(IF(M79="","",IF(AND(DAY(DATE(M79,VALUE(MID(C79,3,2)),VALUE(MID(C79,1,2))))=VALUE(MID(C79,1,2)),MONTH(DATE(M79,VALUE(MID(C79,3,2)),VALUE(MID(C79,1,2))))=VALUE(MID(C79,3,2))),DATE(M79,VALUE(MID(C79,3,2)),VALUE(MID(C79,1,2))),"")),"")</f>
        <v/>
      </c>
    </row>
    <row r="80">
      <c r="A80" s="2" t="n"/>
      <c r="B80" s="2" t="n"/>
      <c r="C80" s="3" t="n"/>
      <c r="D80" s="2" t="n"/>
      <c r="E80" s="4">
        <f>IF(A80="","",5)</f>
        <v/>
      </c>
      <c r="F80" s="2" t="n"/>
      <c r="G80" s="4" t="n"/>
      <c r="H80" s="2" t="n"/>
      <c r="I80" s="2" t="n"/>
      <c r="J80" s="2">
        <f>IF(C80="","",IF(LEN(C80)&lt;&gt;13,"Nema 13 cifara (ima "&amp;LEN(C80)&amp;")",IF(L80="","JMBG sadrži nešto što nije cifra",IF(N80="","Nepostojeći datum rođenja",IF(VALUE(MID(C80,13,1))&lt;&gt;L80,"Pogrešna kontrolna cifra - treba "&amp;L80,"✓ ispravan")))))</f>
        <v/>
      </c>
      <c r="K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L80">
        <f>IF(K80="","",IF(11-MOD(K80,11)&gt;9,0,11-MOD(K80,11)))</f>
        <v/>
      </c>
      <c r="M80">
        <f>IFERROR(IF(LEN(C80)&lt;&gt;13,"",IF(VALUE(MID(C80,5,3))&gt;=800,1000,2000)+VALUE(MID(C80,5,3))),"")</f>
        <v/>
      </c>
      <c r="N80">
        <f>IFERROR(IF(M80="","",IF(AND(DAY(DATE(M80,VALUE(MID(C80,3,2)),VALUE(MID(C80,1,2))))=VALUE(MID(C80,1,2)),MONTH(DATE(M80,VALUE(MID(C80,3,2)),VALUE(MID(C80,1,2))))=VALUE(MID(C80,3,2))),DATE(M80,VALUE(MID(C80,3,2)),VALUE(MID(C80,1,2))),"")),"")</f>
        <v/>
      </c>
    </row>
    <row r="81">
      <c r="A81" s="2" t="n"/>
      <c r="B81" s="2" t="n"/>
      <c r="C81" s="3" t="n"/>
      <c r="D81" s="2" t="n"/>
      <c r="E81" s="4">
        <f>IF(A81="","",5)</f>
        <v/>
      </c>
      <c r="F81" s="2" t="n"/>
      <c r="G81" s="4" t="n"/>
      <c r="H81" s="2" t="n"/>
      <c r="I81" s="2" t="n"/>
      <c r="J81" s="2">
        <f>IF(C81="","",IF(LEN(C81)&lt;&gt;13,"Nema 13 cifara (ima "&amp;LEN(C81)&amp;")",IF(L81="","JMBG sadrži nešto što nije cifra",IF(N81="","Nepostojeći datum rođenja",IF(VALUE(MID(C81,13,1))&lt;&gt;L81,"Pogrešna kontrolna cifra - treba "&amp;L81,"✓ ispravan")))))</f>
        <v/>
      </c>
      <c r="K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L81">
        <f>IF(K81="","",IF(11-MOD(K81,11)&gt;9,0,11-MOD(K81,11)))</f>
        <v/>
      </c>
      <c r="M81">
        <f>IFERROR(IF(LEN(C81)&lt;&gt;13,"",IF(VALUE(MID(C81,5,3))&gt;=800,1000,2000)+VALUE(MID(C81,5,3))),"")</f>
        <v/>
      </c>
      <c r="N81">
        <f>IFERROR(IF(M81="","",IF(AND(DAY(DATE(M81,VALUE(MID(C81,3,2)),VALUE(MID(C81,1,2))))=VALUE(MID(C81,1,2)),MONTH(DATE(M81,VALUE(MID(C81,3,2)),VALUE(MID(C81,1,2))))=VALUE(MID(C81,3,2))),DATE(M81,VALUE(MID(C81,3,2)),VALUE(MID(C81,1,2))),"")),"")</f>
        <v/>
      </c>
    </row>
    <row r="82">
      <c r="A82" s="2" t="n"/>
      <c r="B82" s="2" t="n"/>
      <c r="C82" s="3" t="n"/>
      <c r="D82" s="2" t="n"/>
      <c r="E82" s="4">
        <f>IF(A82="","",5)</f>
        <v/>
      </c>
      <c r="F82" s="2" t="n"/>
      <c r="G82" s="4" t="n"/>
      <c r="H82" s="2" t="n"/>
      <c r="I82" s="2" t="n"/>
      <c r="J82" s="2">
        <f>IF(C82="","",IF(LEN(C82)&lt;&gt;13,"Nema 13 cifara (ima "&amp;LEN(C82)&amp;")",IF(L82="","JMBG sadrži nešto što nije cifra",IF(N82="","Nepostojeći datum rođenja",IF(VALUE(MID(C82,13,1))&lt;&gt;L82,"Pogrešna kontrolna cifra - treba "&amp;L82,"✓ ispravan")))))</f>
        <v/>
      </c>
      <c r="K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L82">
        <f>IF(K82="","",IF(11-MOD(K82,11)&gt;9,0,11-MOD(K82,11)))</f>
        <v/>
      </c>
      <c r="M82">
        <f>IFERROR(IF(LEN(C82)&lt;&gt;13,"",IF(VALUE(MID(C82,5,3))&gt;=800,1000,2000)+VALUE(MID(C82,5,3))),"")</f>
        <v/>
      </c>
      <c r="N82">
        <f>IFERROR(IF(M82="","",IF(AND(DAY(DATE(M82,VALUE(MID(C82,3,2)),VALUE(MID(C82,1,2))))=VALUE(MID(C82,1,2)),MONTH(DATE(M82,VALUE(MID(C82,3,2)),VALUE(MID(C82,1,2))))=VALUE(MID(C82,3,2))),DATE(M82,VALUE(MID(C82,3,2)),VALUE(MID(C82,1,2))),"")),"")</f>
        <v/>
      </c>
    </row>
    <row r="83">
      <c r="A83" s="2" t="n"/>
      <c r="B83" s="2" t="n"/>
      <c r="C83" s="3" t="n"/>
      <c r="D83" s="2" t="n"/>
      <c r="E83" s="4">
        <f>IF(A83="","",5)</f>
        <v/>
      </c>
      <c r="F83" s="2" t="n"/>
      <c r="G83" s="4" t="n"/>
      <c r="H83" s="2" t="n"/>
      <c r="I83" s="2" t="n"/>
      <c r="J83" s="2">
        <f>IF(C83="","",IF(LEN(C83)&lt;&gt;13,"Nema 13 cifara (ima "&amp;LEN(C83)&amp;")",IF(L83="","JMBG sadrži nešto što nije cifra",IF(N83="","Nepostojeći datum rođenja",IF(VALUE(MID(C83,13,1))&lt;&gt;L83,"Pogrešna kontrolna cifra - treba "&amp;L83,"✓ ispravan")))))</f>
        <v/>
      </c>
      <c r="K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L83">
        <f>IF(K83="","",IF(11-MOD(K83,11)&gt;9,0,11-MOD(K83,11)))</f>
        <v/>
      </c>
      <c r="M83">
        <f>IFERROR(IF(LEN(C83)&lt;&gt;13,"",IF(VALUE(MID(C83,5,3))&gt;=800,1000,2000)+VALUE(MID(C83,5,3))),"")</f>
        <v/>
      </c>
      <c r="N83">
        <f>IFERROR(IF(M83="","",IF(AND(DAY(DATE(M83,VALUE(MID(C83,3,2)),VALUE(MID(C83,1,2))))=VALUE(MID(C83,1,2)),MONTH(DATE(M83,VALUE(MID(C83,3,2)),VALUE(MID(C83,1,2))))=VALUE(MID(C83,3,2))),DATE(M83,VALUE(MID(C83,3,2)),VALUE(MID(C83,1,2))),"")),"")</f>
        <v/>
      </c>
    </row>
    <row r="84">
      <c r="A84" s="2" t="n"/>
      <c r="B84" s="2" t="n"/>
      <c r="C84" s="3" t="n"/>
      <c r="D84" s="2" t="n"/>
      <c r="E84" s="4">
        <f>IF(A84="","",5)</f>
        <v/>
      </c>
      <c r="F84" s="2" t="n"/>
      <c r="G84" s="4" t="n"/>
      <c r="H84" s="2" t="n"/>
      <c r="I84" s="2" t="n"/>
      <c r="J84" s="2">
        <f>IF(C84="","",IF(LEN(C84)&lt;&gt;13,"Nema 13 cifara (ima "&amp;LEN(C84)&amp;")",IF(L84="","JMBG sadrži nešto što nije cifra",IF(N84="","Nepostojeći datum rođenja",IF(VALUE(MID(C84,13,1))&lt;&gt;L84,"Pogrešna kontrolna cifra - treba "&amp;L84,"✓ ispravan")))))</f>
        <v/>
      </c>
      <c r="K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L84">
        <f>IF(K84="","",IF(11-MOD(K84,11)&gt;9,0,11-MOD(K84,11)))</f>
        <v/>
      </c>
      <c r="M84">
        <f>IFERROR(IF(LEN(C84)&lt;&gt;13,"",IF(VALUE(MID(C84,5,3))&gt;=800,1000,2000)+VALUE(MID(C84,5,3))),"")</f>
        <v/>
      </c>
      <c r="N84">
        <f>IFERROR(IF(M84="","",IF(AND(DAY(DATE(M84,VALUE(MID(C84,3,2)),VALUE(MID(C84,1,2))))=VALUE(MID(C84,1,2)),MONTH(DATE(M84,VALUE(MID(C84,3,2)),VALUE(MID(C84,1,2))))=VALUE(MID(C84,3,2))),DATE(M84,VALUE(MID(C84,3,2)),VALUE(MID(C84,1,2))),"")),"")</f>
        <v/>
      </c>
    </row>
    <row r="85">
      <c r="A85" s="2" t="n"/>
      <c r="B85" s="2" t="n"/>
      <c r="C85" s="3" t="n"/>
      <c r="D85" s="2" t="n"/>
      <c r="E85" s="4">
        <f>IF(A85="","",5)</f>
        <v/>
      </c>
      <c r="F85" s="2" t="n"/>
      <c r="G85" s="4" t="n"/>
      <c r="H85" s="2" t="n"/>
      <c r="I85" s="2" t="n"/>
      <c r="J85" s="2">
        <f>IF(C85="","",IF(LEN(C85)&lt;&gt;13,"Nema 13 cifara (ima "&amp;LEN(C85)&amp;")",IF(L85="","JMBG sadrži nešto što nije cifra",IF(N85="","Nepostojeći datum rođenja",IF(VALUE(MID(C85,13,1))&lt;&gt;L85,"Pogrešna kontrolna cifra - treba "&amp;L85,"✓ ispravan")))))</f>
        <v/>
      </c>
      <c r="K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L85">
        <f>IF(K85="","",IF(11-MOD(K85,11)&gt;9,0,11-MOD(K85,11)))</f>
        <v/>
      </c>
      <c r="M85">
        <f>IFERROR(IF(LEN(C85)&lt;&gt;13,"",IF(VALUE(MID(C85,5,3))&gt;=800,1000,2000)+VALUE(MID(C85,5,3))),"")</f>
        <v/>
      </c>
      <c r="N85">
        <f>IFERROR(IF(M85="","",IF(AND(DAY(DATE(M85,VALUE(MID(C85,3,2)),VALUE(MID(C85,1,2))))=VALUE(MID(C85,1,2)),MONTH(DATE(M85,VALUE(MID(C85,3,2)),VALUE(MID(C85,1,2))))=VALUE(MID(C85,3,2))),DATE(M85,VALUE(MID(C85,3,2)),VALUE(MID(C85,1,2))),"")),"")</f>
        <v/>
      </c>
    </row>
    <row r="86">
      <c r="A86" s="2" t="n"/>
      <c r="B86" s="2" t="n"/>
      <c r="C86" s="3" t="n"/>
      <c r="D86" s="2" t="n"/>
      <c r="E86" s="4">
        <f>IF(A86="","",5)</f>
        <v/>
      </c>
      <c r="F86" s="2" t="n"/>
      <c r="G86" s="4" t="n"/>
      <c r="H86" s="2" t="n"/>
      <c r="I86" s="2" t="n"/>
      <c r="J86" s="2">
        <f>IF(C86="","",IF(LEN(C86)&lt;&gt;13,"Nema 13 cifara (ima "&amp;LEN(C86)&amp;")",IF(L86="","JMBG sadrži nešto što nije cifra",IF(N86="","Nepostojeći datum rođenja",IF(VALUE(MID(C86,13,1))&lt;&gt;L86,"Pogrešna kontrolna cifra - treba "&amp;L86,"✓ ispravan")))))</f>
        <v/>
      </c>
      <c r="K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L86">
        <f>IF(K86="","",IF(11-MOD(K86,11)&gt;9,0,11-MOD(K86,11)))</f>
        <v/>
      </c>
      <c r="M86">
        <f>IFERROR(IF(LEN(C86)&lt;&gt;13,"",IF(VALUE(MID(C86,5,3))&gt;=800,1000,2000)+VALUE(MID(C86,5,3))),"")</f>
        <v/>
      </c>
      <c r="N86">
        <f>IFERROR(IF(M86="","",IF(AND(DAY(DATE(M86,VALUE(MID(C86,3,2)),VALUE(MID(C86,1,2))))=VALUE(MID(C86,1,2)),MONTH(DATE(M86,VALUE(MID(C86,3,2)),VALUE(MID(C86,1,2))))=VALUE(MID(C86,3,2))),DATE(M86,VALUE(MID(C86,3,2)),VALUE(MID(C86,1,2))),"")),"")</f>
        <v/>
      </c>
    </row>
    <row r="87">
      <c r="A87" s="2" t="n"/>
      <c r="B87" s="2" t="n"/>
      <c r="C87" s="3" t="n"/>
      <c r="D87" s="2" t="n"/>
      <c r="E87" s="4">
        <f>IF(A87="","",5)</f>
        <v/>
      </c>
      <c r="F87" s="2" t="n"/>
      <c r="G87" s="4" t="n"/>
      <c r="H87" s="2" t="n"/>
      <c r="I87" s="2" t="n"/>
      <c r="J87" s="2">
        <f>IF(C87="","",IF(LEN(C87)&lt;&gt;13,"Nema 13 cifara (ima "&amp;LEN(C87)&amp;")",IF(L87="","JMBG sadrži nešto što nije cifra",IF(N87="","Nepostojeći datum rođenja",IF(VALUE(MID(C87,13,1))&lt;&gt;L87,"Pogrešna kontrolna cifra - treba "&amp;L87,"✓ ispravan")))))</f>
        <v/>
      </c>
      <c r="K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L87">
        <f>IF(K87="","",IF(11-MOD(K87,11)&gt;9,0,11-MOD(K87,11)))</f>
        <v/>
      </c>
      <c r="M87">
        <f>IFERROR(IF(LEN(C87)&lt;&gt;13,"",IF(VALUE(MID(C87,5,3))&gt;=800,1000,2000)+VALUE(MID(C87,5,3))),"")</f>
        <v/>
      </c>
      <c r="N87">
        <f>IFERROR(IF(M87="","",IF(AND(DAY(DATE(M87,VALUE(MID(C87,3,2)),VALUE(MID(C87,1,2))))=VALUE(MID(C87,1,2)),MONTH(DATE(M87,VALUE(MID(C87,3,2)),VALUE(MID(C87,1,2))))=VALUE(MID(C87,3,2))),DATE(M87,VALUE(MID(C87,3,2)),VALUE(MID(C87,1,2))),"")),"")</f>
        <v/>
      </c>
    </row>
    <row r="88">
      <c r="A88" s="2" t="n"/>
      <c r="B88" s="2" t="n"/>
      <c r="C88" s="3" t="n"/>
      <c r="D88" s="2" t="n"/>
      <c r="E88" s="4">
        <f>IF(A88="","",5)</f>
        <v/>
      </c>
      <c r="F88" s="2" t="n"/>
      <c r="G88" s="4" t="n"/>
      <c r="H88" s="2" t="n"/>
      <c r="I88" s="2" t="n"/>
      <c r="J88" s="2">
        <f>IF(C88="","",IF(LEN(C88)&lt;&gt;13,"Nema 13 cifara (ima "&amp;LEN(C88)&amp;")",IF(L88="","JMBG sadrži nešto što nije cifra",IF(N88="","Nepostojeći datum rođenja",IF(VALUE(MID(C88,13,1))&lt;&gt;L88,"Pogrešna kontrolna cifra - treba "&amp;L88,"✓ ispravan")))))</f>
        <v/>
      </c>
      <c r="K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L88">
        <f>IF(K88="","",IF(11-MOD(K88,11)&gt;9,0,11-MOD(K88,11)))</f>
        <v/>
      </c>
      <c r="M88">
        <f>IFERROR(IF(LEN(C88)&lt;&gt;13,"",IF(VALUE(MID(C88,5,3))&gt;=800,1000,2000)+VALUE(MID(C88,5,3))),"")</f>
        <v/>
      </c>
      <c r="N88">
        <f>IFERROR(IF(M88="","",IF(AND(DAY(DATE(M88,VALUE(MID(C88,3,2)),VALUE(MID(C88,1,2))))=VALUE(MID(C88,1,2)),MONTH(DATE(M88,VALUE(MID(C88,3,2)),VALUE(MID(C88,1,2))))=VALUE(MID(C88,3,2))),DATE(M88,VALUE(MID(C88,3,2)),VALUE(MID(C88,1,2))),"")),"")</f>
        <v/>
      </c>
    </row>
    <row r="89">
      <c r="A89" s="2" t="n"/>
      <c r="B89" s="2" t="n"/>
      <c r="C89" s="3" t="n"/>
      <c r="D89" s="2" t="n"/>
      <c r="E89" s="4">
        <f>IF(A89="","",5)</f>
        <v/>
      </c>
      <c r="F89" s="2" t="n"/>
      <c r="G89" s="4" t="n"/>
      <c r="H89" s="2" t="n"/>
      <c r="I89" s="2" t="n"/>
      <c r="J89" s="2">
        <f>IF(C89="","",IF(LEN(C89)&lt;&gt;13,"Nema 13 cifara (ima "&amp;LEN(C89)&amp;")",IF(L89="","JMBG sadrži nešto što nije cifra",IF(N89="","Nepostojeći datum rođenja",IF(VALUE(MID(C89,13,1))&lt;&gt;L89,"Pogrešna kontrolna cifra - treba "&amp;L89,"✓ ispravan")))))</f>
        <v/>
      </c>
      <c r="K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L89">
        <f>IF(K89="","",IF(11-MOD(K89,11)&gt;9,0,11-MOD(K89,11)))</f>
        <v/>
      </c>
      <c r="M89">
        <f>IFERROR(IF(LEN(C89)&lt;&gt;13,"",IF(VALUE(MID(C89,5,3))&gt;=800,1000,2000)+VALUE(MID(C89,5,3))),"")</f>
        <v/>
      </c>
      <c r="N89">
        <f>IFERROR(IF(M89="","",IF(AND(DAY(DATE(M89,VALUE(MID(C89,3,2)),VALUE(MID(C89,1,2))))=VALUE(MID(C89,1,2)),MONTH(DATE(M89,VALUE(MID(C89,3,2)),VALUE(MID(C89,1,2))))=VALUE(MID(C89,3,2))),DATE(M89,VALUE(MID(C89,3,2)),VALUE(MID(C89,1,2))),"")),"")</f>
        <v/>
      </c>
    </row>
    <row r="90">
      <c r="A90" s="2" t="n"/>
      <c r="B90" s="2" t="n"/>
      <c r="C90" s="3" t="n"/>
      <c r="D90" s="2" t="n"/>
      <c r="E90" s="4">
        <f>IF(A90="","",5)</f>
        <v/>
      </c>
      <c r="F90" s="2" t="n"/>
      <c r="G90" s="4" t="n"/>
      <c r="H90" s="2" t="n"/>
      <c r="I90" s="2" t="n"/>
      <c r="J90" s="2">
        <f>IF(C90="","",IF(LEN(C90)&lt;&gt;13,"Nema 13 cifara (ima "&amp;LEN(C90)&amp;")",IF(L90="","JMBG sadrži nešto što nije cifra",IF(N90="","Nepostojeći datum rođenja",IF(VALUE(MID(C90,13,1))&lt;&gt;L90,"Pogrešna kontrolna cifra - treba "&amp;L90,"✓ ispravan")))))</f>
        <v/>
      </c>
      <c r="K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L90">
        <f>IF(K90="","",IF(11-MOD(K90,11)&gt;9,0,11-MOD(K90,11)))</f>
        <v/>
      </c>
      <c r="M90">
        <f>IFERROR(IF(LEN(C90)&lt;&gt;13,"",IF(VALUE(MID(C90,5,3))&gt;=800,1000,2000)+VALUE(MID(C90,5,3))),"")</f>
        <v/>
      </c>
      <c r="N90">
        <f>IFERROR(IF(M90="","",IF(AND(DAY(DATE(M90,VALUE(MID(C90,3,2)),VALUE(MID(C90,1,2))))=VALUE(MID(C90,1,2)),MONTH(DATE(M90,VALUE(MID(C90,3,2)),VALUE(MID(C90,1,2))))=VALUE(MID(C90,3,2))),DATE(M90,VALUE(MID(C90,3,2)),VALUE(MID(C90,1,2))),"")),"")</f>
        <v/>
      </c>
    </row>
    <row r="91">
      <c r="A91" s="2" t="n"/>
      <c r="B91" s="2" t="n"/>
      <c r="C91" s="3" t="n"/>
      <c r="D91" s="2" t="n"/>
      <c r="E91" s="4">
        <f>IF(A91="","",5)</f>
        <v/>
      </c>
      <c r="F91" s="2" t="n"/>
      <c r="G91" s="4" t="n"/>
      <c r="H91" s="2" t="n"/>
      <c r="I91" s="2" t="n"/>
      <c r="J91" s="2">
        <f>IF(C91="","",IF(LEN(C91)&lt;&gt;13,"Nema 13 cifara (ima "&amp;LEN(C91)&amp;")",IF(L91="","JMBG sadrži nešto što nije cifra",IF(N91="","Nepostojeći datum rođenja",IF(VALUE(MID(C91,13,1))&lt;&gt;L91,"Pogrešna kontrolna cifra - treba "&amp;L91,"✓ ispravan")))))</f>
        <v/>
      </c>
      <c r="K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L91">
        <f>IF(K91="","",IF(11-MOD(K91,11)&gt;9,0,11-MOD(K91,11)))</f>
        <v/>
      </c>
      <c r="M91">
        <f>IFERROR(IF(LEN(C91)&lt;&gt;13,"",IF(VALUE(MID(C91,5,3))&gt;=800,1000,2000)+VALUE(MID(C91,5,3))),"")</f>
        <v/>
      </c>
      <c r="N91">
        <f>IFERROR(IF(M91="","",IF(AND(DAY(DATE(M91,VALUE(MID(C91,3,2)),VALUE(MID(C91,1,2))))=VALUE(MID(C91,1,2)),MONTH(DATE(M91,VALUE(MID(C91,3,2)),VALUE(MID(C91,1,2))))=VALUE(MID(C91,3,2))),DATE(M91,VALUE(MID(C91,3,2)),VALUE(MID(C91,1,2))),"")),"")</f>
        <v/>
      </c>
    </row>
    <row r="92">
      <c r="A92" s="2" t="n"/>
      <c r="B92" s="2" t="n"/>
      <c r="C92" s="3" t="n"/>
      <c r="D92" s="2" t="n"/>
      <c r="E92" s="4">
        <f>IF(A92="","",5)</f>
        <v/>
      </c>
      <c r="F92" s="2" t="n"/>
      <c r="G92" s="4" t="n"/>
      <c r="H92" s="2" t="n"/>
      <c r="I92" s="2" t="n"/>
      <c r="J92" s="2">
        <f>IF(C92="","",IF(LEN(C92)&lt;&gt;13,"Nema 13 cifara (ima "&amp;LEN(C92)&amp;")",IF(L92="","JMBG sadrži nešto što nije cifra",IF(N92="","Nepostojeći datum rođenja",IF(VALUE(MID(C92,13,1))&lt;&gt;L92,"Pogrešna kontrolna cifra - treba "&amp;L92,"✓ ispravan")))))</f>
        <v/>
      </c>
      <c r="K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L92">
        <f>IF(K92="","",IF(11-MOD(K92,11)&gt;9,0,11-MOD(K92,11)))</f>
        <v/>
      </c>
      <c r="M92">
        <f>IFERROR(IF(LEN(C92)&lt;&gt;13,"",IF(VALUE(MID(C92,5,3))&gt;=800,1000,2000)+VALUE(MID(C92,5,3))),"")</f>
        <v/>
      </c>
      <c r="N92">
        <f>IFERROR(IF(M92="","",IF(AND(DAY(DATE(M92,VALUE(MID(C92,3,2)),VALUE(MID(C92,1,2))))=VALUE(MID(C92,1,2)),MONTH(DATE(M92,VALUE(MID(C92,3,2)),VALUE(MID(C92,1,2))))=VALUE(MID(C92,3,2))),DATE(M92,VALUE(MID(C92,3,2)),VALUE(MID(C92,1,2))),"")),"")</f>
        <v/>
      </c>
    </row>
    <row r="93">
      <c r="A93" s="2" t="n"/>
      <c r="B93" s="2" t="n"/>
      <c r="C93" s="3" t="n"/>
      <c r="D93" s="2" t="n"/>
      <c r="E93" s="4">
        <f>IF(A93="","",5)</f>
        <v/>
      </c>
      <c r="F93" s="2" t="n"/>
      <c r="G93" s="4" t="n"/>
      <c r="H93" s="2" t="n"/>
      <c r="I93" s="2" t="n"/>
      <c r="J93" s="2">
        <f>IF(C93="","",IF(LEN(C93)&lt;&gt;13,"Nema 13 cifara (ima "&amp;LEN(C93)&amp;")",IF(L93="","JMBG sadrži nešto što nije cifra",IF(N93="","Nepostojeći datum rođenja",IF(VALUE(MID(C93,13,1))&lt;&gt;L93,"Pogrešna kontrolna cifra - treba "&amp;L93,"✓ ispravan")))))</f>
        <v/>
      </c>
      <c r="K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L93">
        <f>IF(K93="","",IF(11-MOD(K93,11)&gt;9,0,11-MOD(K93,11)))</f>
        <v/>
      </c>
      <c r="M93">
        <f>IFERROR(IF(LEN(C93)&lt;&gt;13,"",IF(VALUE(MID(C93,5,3))&gt;=800,1000,2000)+VALUE(MID(C93,5,3))),"")</f>
        <v/>
      </c>
      <c r="N93">
        <f>IFERROR(IF(M93="","",IF(AND(DAY(DATE(M93,VALUE(MID(C93,3,2)),VALUE(MID(C93,1,2))))=VALUE(MID(C93,1,2)),MONTH(DATE(M93,VALUE(MID(C93,3,2)),VALUE(MID(C93,1,2))))=VALUE(MID(C93,3,2))),DATE(M93,VALUE(MID(C93,3,2)),VALUE(MID(C93,1,2))),"")),"")</f>
        <v/>
      </c>
    </row>
    <row r="94">
      <c r="A94" s="2" t="n"/>
      <c r="B94" s="2" t="n"/>
      <c r="C94" s="3" t="n"/>
      <c r="D94" s="2" t="n"/>
      <c r="E94" s="4">
        <f>IF(A94="","",5)</f>
        <v/>
      </c>
      <c r="F94" s="2" t="n"/>
      <c r="G94" s="4" t="n"/>
      <c r="H94" s="2" t="n"/>
      <c r="I94" s="2" t="n"/>
      <c r="J94" s="2">
        <f>IF(C94="","",IF(LEN(C94)&lt;&gt;13,"Nema 13 cifara (ima "&amp;LEN(C94)&amp;")",IF(L94="","JMBG sadrži nešto što nije cifra",IF(N94="","Nepostojeći datum rođenja",IF(VALUE(MID(C94,13,1))&lt;&gt;L94,"Pogrešna kontrolna cifra - treba "&amp;L94,"✓ ispravan")))))</f>
        <v/>
      </c>
      <c r="K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L94">
        <f>IF(K94="","",IF(11-MOD(K94,11)&gt;9,0,11-MOD(K94,11)))</f>
        <v/>
      </c>
      <c r="M94">
        <f>IFERROR(IF(LEN(C94)&lt;&gt;13,"",IF(VALUE(MID(C94,5,3))&gt;=800,1000,2000)+VALUE(MID(C94,5,3))),"")</f>
        <v/>
      </c>
      <c r="N94">
        <f>IFERROR(IF(M94="","",IF(AND(DAY(DATE(M94,VALUE(MID(C94,3,2)),VALUE(MID(C94,1,2))))=VALUE(MID(C94,1,2)),MONTH(DATE(M94,VALUE(MID(C94,3,2)),VALUE(MID(C94,1,2))))=VALUE(MID(C94,3,2))),DATE(M94,VALUE(MID(C94,3,2)),VALUE(MID(C94,1,2))),"")),"")</f>
        <v/>
      </c>
    </row>
    <row r="95">
      <c r="A95" s="2" t="n"/>
      <c r="B95" s="2" t="n"/>
      <c r="C95" s="3" t="n"/>
      <c r="D95" s="2" t="n"/>
      <c r="E95" s="4">
        <f>IF(A95="","",5)</f>
        <v/>
      </c>
      <c r="F95" s="2" t="n"/>
      <c r="G95" s="4" t="n"/>
      <c r="H95" s="2" t="n"/>
      <c r="I95" s="2" t="n"/>
      <c r="J95" s="2">
        <f>IF(C95="","",IF(LEN(C95)&lt;&gt;13,"Nema 13 cifara (ima "&amp;LEN(C95)&amp;")",IF(L95="","JMBG sadrži nešto što nije cifra",IF(N95="","Nepostojeći datum rođenja",IF(VALUE(MID(C95,13,1))&lt;&gt;L95,"Pogrešna kontrolna cifra - treba "&amp;L95,"✓ ispravan")))))</f>
        <v/>
      </c>
      <c r="K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L95">
        <f>IF(K95="","",IF(11-MOD(K95,11)&gt;9,0,11-MOD(K95,11)))</f>
        <v/>
      </c>
      <c r="M95">
        <f>IFERROR(IF(LEN(C95)&lt;&gt;13,"",IF(VALUE(MID(C95,5,3))&gt;=800,1000,2000)+VALUE(MID(C95,5,3))),"")</f>
        <v/>
      </c>
      <c r="N95">
        <f>IFERROR(IF(M95="","",IF(AND(DAY(DATE(M95,VALUE(MID(C95,3,2)),VALUE(MID(C95,1,2))))=VALUE(MID(C95,1,2)),MONTH(DATE(M95,VALUE(MID(C95,3,2)),VALUE(MID(C95,1,2))))=VALUE(MID(C95,3,2))),DATE(M95,VALUE(MID(C95,3,2)),VALUE(MID(C95,1,2))),"")),"")</f>
        <v/>
      </c>
    </row>
    <row r="96">
      <c r="A96" s="2" t="n"/>
      <c r="B96" s="2" t="n"/>
      <c r="C96" s="3" t="n"/>
      <c r="D96" s="2" t="n"/>
      <c r="E96" s="4">
        <f>IF(A96="","",5)</f>
        <v/>
      </c>
      <c r="F96" s="2" t="n"/>
      <c r="G96" s="4" t="n"/>
      <c r="H96" s="2" t="n"/>
      <c r="I96" s="2" t="n"/>
      <c r="J96" s="2">
        <f>IF(C96="","",IF(LEN(C96)&lt;&gt;13,"Nema 13 cifara (ima "&amp;LEN(C96)&amp;")",IF(L96="","JMBG sadrži nešto što nije cifra",IF(N96="","Nepostojeći datum rođenja",IF(VALUE(MID(C96,13,1))&lt;&gt;L96,"Pogrešna kontrolna cifra - treba "&amp;L96,"✓ ispravan")))))</f>
        <v/>
      </c>
      <c r="K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L96">
        <f>IF(K96="","",IF(11-MOD(K96,11)&gt;9,0,11-MOD(K96,11)))</f>
        <v/>
      </c>
      <c r="M96">
        <f>IFERROR(IF(LEN(C96)&lt;&gt;13,"",IF(VALUE(MID(C96,5,3))&gt;=800,1000,2000)+VALUE(MID(C96,5,3))),"")</f>
        <v/>
      </c>
      <c r="N96">
        <f>IFERROR(IF(M96="","",IF(AND(DAY(DATE(M96,VALUE(MID(C96,3,2)),VALUE(MID(C96,1,2))))=VALUE(MID(C96,1,2)),MONTH(DATE(M96,VALUE(MID(C96,3,2)),VALUE(MID(C96,1,2))))=VALUE(MID(C96,3,2))),DATE(M96,VALUE(MID(C96,3,2)),VALUE(MID(C96,1,2))),"")),"")</f>
        <v/>
      </c>
    </row>
    <row r="97">
      <c r="A97" s="2" t="n"/>
      <c r="B97" s="2" t="n"/>
      <c r="C97" s="3" t="n"/>
      <c r="D97" s="2" t="n"/>
      <c r="E97" s="4">
        <f>IF(A97="","",5)</f>
        <v/>
      </c>
      <c r="F97" s="2" t="n"/>
      <c r="G97" s="4" t="n"/>
      <c r="H97" s="2" t="n"/>
      <c r="I97" s="2" t="n"/>
      <c r="J97" s="2">
        <f>IF(C97="","",IF(LEN(C97)&lt;&gt;13,"Nema 13 cifara (ima "&amp;LEN(C97)&amp;")",IF(L97="","JMBG sadrži nešto što nije cifra",IF(N97="","Nepostojeći datum rođenja",IF(VALUE(MID(C97,13,1))&lt;&gt;L97,"Pogrešna kontrolna cifra - treba "&amp;L97,"✓ ispravan")))))</f>
        <v/>
      </c>
      <c r="K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L97">
        <f>IF(K97="","",IF(11-MOD(K97,11)&gt;9,0,11-MOD(K97,11)))</f>
        <v/>
      </c>
      <c r="M97">
        <f>IFERROR(IF(LEN(C97)&lt;&gt;13,"",IF(VALUE(MID(C97,5,3))&gt;=800,1000,2000)+VALUE(MID(C97,5,3))),"")</f>
        <v/>
      </c>
      <c r="N97">
        <f>IFERROR(IF(M97="","",IF(AND(DAY(DATE(M97,VALUE(MID(C97,3,2)),VALUE(MID(C97,1,2))))=VALUE(MID(C97,1,2)),MONTH(DATE(M97,VALUE(MID(C97,3,2)),VALUE(MID(C97,1,2))))=VALUE(MID(C97,3,2))),DATE(M97,VALUE(MID(C97,3,2)),VALUE(MID(C97,1,2))),"")),"")</f>
        <v/>
      </c>
    </row>
    <row r="98">
      <c r="A98" s="2" t="n"/>
      <c r="B98" s="2" t="n"/>
      <c r="C98" s="3" t="n"/>
      <c r="D98" s="2" t="n"/>
      <c r="E98" s="4">
        <f>IF(A98="","",5)</f>
        <v/>
      </c>
      <c r="F98" s="2" t="n"/>
      <c r="G98" s="4" t="n"/>
      <c r="H98" s="2" t="n"/>
      <c r="I98" s="2" t="n"/>
      <c r="J98" s="2">
        <f>IF(C98="","",IF(LEN(C98)&lt;&gt;13,"Nema 13 cifara (ima "&amp;LEN(C98)&amp;")",IF(L98="","JMBG sadrži nešto što nije cifra",IF(N98="","Nepostojeći datum rođenja",IF(VALUE(MID(C98,13,1))&lt;&gt;L98,"Pogrešna kontrolna cifra - treba "&amp;L98,"✓ ispravan")))))</f>
        <v/>
      </c>
      <c r="K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L98">
        <f>IF(K98="","",IF(11-MOD(K98,11)&gt;9,0,11-MOD(K98,11)))</f>
        <v/>
      </c>
      <c r="M98">
        <f>IFERROR(IF(LEN(C98)&lt;&gt;13,"",IF(VALUE(MID(C98,5,3))&gt;=800,1000,2000)+VALUE(MID(C98,5,3))),"")</f>
        <v/>
      </c>
      <c r="N98">
        <f>IFERROR(IF(M98="","",IF(AND(DAY(DATE(M98,VALUE(MID(C98,3,2)),VALUE(MID(C98,1,2))))=VALUE(MID(C98,1,2)),MONTH(DATE(M98,VALUE(MID(C98,3,2)),VALUE(MID(C98,1,2))))=VALUE(MID(C98,3,2))),DATE(M98,VALUE(MID(C98,3,2)),VALUE(MID(C98,1,2))),"")),"")</f>
        <v/>
      </c>
    </row>
    <row r="99">
      <c r="A99" s="2" t="n"/>
      <c r="B99" s="2" t="n"/>
      <c r="C99" s="3" t="n"/>
      <c r="D99" s="2" t="n"/>
      <c r="E99" s="4">
        <f>IF(A99="","",5)</f>
        <v/>
      </c>
      <c r="F99" s="2" t="n"/>
      <c r="G99" s="4" t="n"/>
      <c r="H99" s="2" t="n"/>
      <c r="I99" s="2" t="n"/>
      <c r="J99" s="2">
        <f>IF(C99="","",IF(LEN(C99)&lt;&gt;13,"Nema 13 cifara (ima "&amp;LEN(C99)&amp;")",IF(L99="","JMBG sadrži nešto što nije cifra",IF(N99="","Nepostojeći datum rođenja",IF(VALUE(MID(C99,13,1))&lt;&gt;L99,"Pogrešna kontrolna cifra - treba "&amp;L99,"✓ ispravan")))))</f>
        <v/>
      </c>
      <c r="K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L99">
        <f>IF(K99="","",IF(11-MOD(K99,11)&gt;9,0,11-MOD(K99,11)))</f>
        <v/>
      </c>
      <c r="M99">
        <f>IFERROR(IF(LEN(C99)&lt;&gt;13,"",IF(VALUE(MID(C99,5,3))&gt;=800,1000,2000)+VALUE(MID(C99,5,3))),"")</f>
        <v/>
      </c>
      <c r="N99">
        <f>IFERROR(IF(M99="","",IF(AND(DAY(DATE(M99,VALUE(MID(C99,3,2)),VALUE(MID(C99,1,2))))=VALUE(MID(C99,1,2)),MONTH(DATE(M99,VALUE(MID(C99,3,2)),VALUE(MID(C99,1,2))))=VALUE(MID(C99,3,2))),DATE(M99,VALUE(MID(C99,3,2)),VALUE(MID(C99,1,2))),"")),"")</f>
        <v/>
      </c>
    </row>
    <row r="100">
      <c r="A100" s="2" t="n"/>
      <c r="B100" s="2" t="n"/>
      <c r="C100" s="3" t="n"/>
      <c r="D100" s="2" t="n"/>
      <c r="E100" s="4">
        <f>IF(A100="","",5)</f>
        <v/>
      </c>
      <c r="F100" s="2" t="n"/>
      <c r="G100" s="4" t="n"/>
      <c r="H100" s="2" t="n"/>
      <c r="I100" s="2" t="n"/>
      <c r="J100" s="2">
        <f>IF(C100="","",IF(LEN(C100)&lt;&gt;13,"Nema 13 cifara (ima "&amp;LEN(C100)&amp;")",IF(L100="","JMBG sadrži nešto što nije cifra",IF(N100="","Nepostojeći datum rođenja",IF(VALUE(MID(C100,13,1))&lt;&gt;L100,"Pogrešna kontrolna cifra - treba "&amp;L100,"✓ ispravan")))))</f>
        <v/>
      </c>
      <c r="K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L100">
        <f>IF(K100="","",IF(11-MOD(K100,11)&gt;9,0,11-MOD(K100,11)))</f>
        <v/>
      </c>
      <c r="M100">
        <f>IFERROR(IF(LEN(C100)&lt;&gt;13,"",IF(VALUE(MID(C100,5,3))&gt;=800,1000,2000)+VALUE(MID(C100,5,3))),"")</f>
        <v/>
      </c>
      <c r="N100">
        <f>IFERROR(IF(M100="","",IF(AND(DAY(DATE(M100,VALUE(MID(C100,3,2)),VALUE(MID(C100,1,2))))=VALUE(MID(C100,1,2)),MONTH(DATE(M100,VALUE(MID(C100,3,2)),VALUE(MID(C100,1,2))))=VALUE(MID(C100,3,2))),DATE(M100,VALUE(MID(C100,3,2)),VALUE(MID(C100,1,2))),"")),"")</f>
        <v/>
      </c>
    </row>
    <row r="101">
      <c r="A101" s="2" t="n"/>
      <c r="B101" s="2" t="n"/>
      <c r="C101" s="3" t="n"/>
      <c r="D101" s="2" t="n"/>
      <c r="E101" s="4">
        <f>IF(A101="","",5)</f>
        <v/>
      </c>
      <c r="F101" s="2" t="n"/>
      <c r="G101" s="4" t="n"/>
      <c r="H101" s="2" t="n"/>
      <c r="I101" s="2" t="n"/>
      <c r="J101" s="2">
        <f>IF(C101="","",IF(LEN(C101)&lt;&gt;13,"Nema 13 cifara (ima "&amp;LEN(C101)&amp;")",IF(L101="","JMBG sadrži nešto što nije cifra",IF(N101="","Nepostojeći datum rođenja",IF(VALUE(MID(C101,13,1))&lt;&gt;L101,"Pogrešna kontrolna cifra - treba "&amp;L101,"✓ ispravan")))))</f>
        <v/>
      </c>
      <c r="K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L101">
        <f>IF(K101="","",IF(11-MOD(K101,11)&gt;9,0,11-MOD(K101,11)))</f>
        <v/>
      </c>
      <c r="M101">
        <f>IFERROR(IF(LEN(C101)&lt;&gt;13,"",IF(VALUE(MID(C101,5,3))&gt;=800,1000,2000)+VALUE(MID(C101,5,3))),"")</f>
        <v/>
      </c>
      <c r="N101">
        <f>IFERROR(IF(M101="","",IF(AND(DAY(DATE(M101,VALUE(MID(C101,3,2)),VALUE(MID(C101,1,2))))=VALUE(MID(C101,1,2)),MONTH(DATE(M101,VALUE(MID(C101,3,2)),VALUE(MID(C101,1,2))))=VALUE(MID(C101,3,2))),DATE(M101,VALUE(MID(C101,3,2)),VALUE(MID(C101,1,2))),"")),"")</f>
        <v/>
      </c>
    </row>
    <row r="102">
      <c r="A102" s="2" t="n"/>
      <c r="B102" s="2" t="n"/>
      <c r="C102" s="3" t="n"/>
      <c r="D102" s="2" t="n"/>
      <c r="E102" s="4">
        <f>IF(A102="","",5)</f>
        <v/>
      </c>
      <c r="F102" s="2" t="n"/>
      <c r="G102" s="4" t="n"/>
      <c r="H102" s="2" t="n"/>
      <c r="I102" s="2" t="n"/>
      <c r="J102" s="2">
        <f>IF(C102="","",IF(LEN(C102)&lt;&gt;13,"Nema 13 cifara (ima "&amp;LEN(C102)&amp;")",IF(L102="","JMBG sadrži nešto što nije cifra",IF(N102="","Nepostojeći datum rođenja",IF(VALUE(MID(C102,13,1))&lt;&gt;L102,"Pogrešna kontrolna cifra - treba "&amp;L102,"✓ ispravan")))))</f>
        <v/>
      </c>
      <c r="K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L102">
        <f>IF(K102="","",IF(11-MOD(K102,11)&gt;9,0,11-MOD(K102,11)))</f>
        <v/>
      </c>
      <c r="M102">
        <f>IFERROR(IF(LEN(C102)&lt;&gt;13,"",IF(VALUE(MID(C102,5,3))&gt;=800,1000,2000)+VALUE(MID(C102,5,3))),"")</f>
        <v/>
      </c>
      <c r="N102">
        <f>IFERROR(IF(M102="","",IF(AND(DAY(DATE(M102,VALUE(MID(C102,3,2)),VALUE(MID(C102,1,2))))=VALUE(MID(C102,1,2)),MONTH(DATE(M102,VALUE(MID(C102,3,2)),VALUE(MID(C102,1,2))))=VALUE(MID(C102,3,2))),DATE(M102,VALUE(MID(C102,3,2)),VALUE(MID(C102,1,2))),"")),"")</f>
        <v/>
      </c>
    </row>
    <row r="103">
      <c r="A103" s="2" t="n"/>
      <c r="B103" s="2" t="n"/>
      <c r="C103" s="3" t="n"/>
      <c r="D103" s="2" t="n"/>
      <c r="E103" s="4">
        <f>IF(A103="","",5)</f>
        <v/>
      </c>
      <c r="F103" s="2" t="n"/>
      <c r="G103" s="4" t="n"/>
      <c r="H103" s="2" t="n"/>
      <c r="I103" s="2" t="n"/>
      <c r="J103" s="2">
        <f>IF(C103="","",IF(LEN(C103)&lt;&gt;13,"Nema 13 cifara (ima "&amp;LEN(C103)&amp;")",IF(L103="","JMBG sadrži nešto što nije cifra",IF(N103="","Nepostojeći datum rođenja",IF(VALUE(MID(C103,13,1))&lt;&gt;L103,"Pogrešna kontrolna cifra - treba "&amp;L103,"✓ ispravan")))))</f>
        <v/>
      </c>
      <c r="K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L103">
        <f>IF(K103="","",IF(11-MOD(K103,11)&gt;9,0,11-MOD(K103,11)))</f>
        <v/>
      </c>
      <c r="M103">
        <f>IFERROR(IF(LEN(C103)&lt;&gt;13,"",IF(VALUE(MID(C103,5,3))&gt;=800,1000,2000)+VALUE(MID(C103,5,3))),"")</f>
        <v/>
      </c>
      <c r="N103">
        <f>IFERROR(IF(M103="","",IF(AND(DAY(DATE(M103,VALUE(MID(C103,3,2)),VALUE(MID(C103,1,2))))=VALUE(MID(C103,1,2)),MONTH(DATE(M103,VALUE(MID(C103,3,2)),VALUE(MID(C103,1,2))))=VALUE(MID(C103,3,2))),DATE(M103,VALUE(MID(C103,3,2)),VALUE(MID(C103,1,2))),"")),"")</f>
        <v/>
      </c>
    </row>
    <row r="104">
      <c r="A104" s="2" t="n"/>
      <c r="B104" s="2" t="n"/>
      <c r="C104" s="3" t="n"/>
      <c r="D104" s="2" t="n"/>
      <c r="E104" s="4">
        <f>IF(A104="","",5)</f>
        <v/>
      </c>
      <c r="F104" s="2" t="n"/>
      <c r="G104" s="4" t="n"/>
      <c r="H104" s="2" t="n"/>
      <c r="I104" s="2" t="n"/>
      <c r="J104" s="2">
        <f>IF(C104="","",IF(LEN(C104)&lt;&gt;13,"Nema 13 cifara (ima "&amp;LEN(C104)&amp;")",IF(L104="","JMBG sadrži nešto što nije cifra",IF(N104="","Nepostojeći datum rođenja",IF(VALUE(MID(C104,13,1))&lt;&gt;L104,"Pogrešna kontrolna cifra - treba "&amp;L104,"✓ ispravan")))))</f>
        <v/>
      </c>
      <c r="K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L104">
        <f>IF(K104="","",IF(11-MOD(K104,11)&gt;9,0,11-MOD(K104,11)))</f>
        <v/>
      </c>
      <c r="M104">
        <f>IFERROR(IF(LEN(C104)&lt;&gt;13,"",IF(VALUE(MID(C104,5,3))&gt;=800,1000,2000)+VALUE(MID(C104,5,3))),"")</f>
        <v/>
      </c>
      <c r="N104">
        <f>IFERROR(IF(M104="","",IF(AND(DAY(DATE(M104,VALUE(MID(C104,3,2)),VALUE(MID(C104,1,2))))=VALUE(MID(C104,1,2)),MONTH(DATE(M104,VALUE(MID(C104,3,2)),VALUE(MID(C104,1,2))))=VALUE(MID(C104,3,2))),DATE(M104,VALUE(MID(C104,3,2)),VALUE(MID(C104,1,2))),"")),"")</f>
        <v/>
      </c>
    </row>
    <row r="105">
      <c r="A105" s="2" t="n"/>
      <c r="B105" s="2" t="n"/>
      <c r="C105" s="3" t="n"/>
      <c r="D105" s="2" t="n"/>
      <c r="E105" s="4">
        <f>IF(A105="","",5)</f>
        <v/>
      </c>
      <c r="F105" s="2" t="n"/>
      <c r="G105" s="4" t="n"/>
      <c r="H105" s="2" t="n"/>
      <c r="I105" s="2" t="n"/>
      <c r="J105" s="2">
        <f>IF(C105="","",IF(LEN(C105)&lt;&gt;13,"Nema 13 cifara (ima "&amp;LEN(C105)&amp;")",IF(L105="","JMBG sadrži nešto što nije cifra",IF(N105="","Nepostojeći datum rođenja",IF(VALUE(MID(C105,13,1))&lt;&gt;L105,"Pogrešna kontrolna cifra - treba "&amp;L105,"✓ ispravan")))))</f>
        <v/>
      </c>
      <c r="K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L105">
        <f>IF(K105="","",IF(11-MOD(K105,11)&gt;9,0,11-MOD(K105,11)))</f>
        <v/>
      </c>
      <c r="M105">
        <f>IFERROR(IF(LEN(C105)&lt;&gt;13,"",IF(VALUE(MID(C105,5,3))&gt;=800,1000,2000)+VALUE(MID(C105,5,3))),"")</f>
        <v/>
      </c>
      <c r="N105">
        <f>IFERROR(IF(M105="","",IF(AND(DAY(DATE(M105,VALUE(MID(C105,3,2)),VALUE(MID(C105,1,2))))=VALUE(MID(C105,1,2)),MONTH(DATE(M105,VALUE(MID(C105,3,2)),VALUE(MID(C105,1,2))))=VALUE(MID(C105,3,2))),DATE(M105,VALUE(MID(C105,3,2)),VALUE(MID(C105,1,2))),"")),"")</f>
        <v/>
      </c>
    </row>
    <row r="106">
      <c r="A106" s="2" t="n"/>
      <c r="B106" s="2" t="n"/>
      <c r="C106" s="3" t="n"/>
      <c r="D106" s="2" t="n"/>
      <c r="E106" s="4">
        <f>IF(A106="","",5)</f>
        <v/>
      </c>
      <c r="F106" s="2" t="n"/>
      <c r="G106" s="4" t="n"/>
      <c r="H106" s="2" t="n"/>
      <c r="I106" s="2" t="n"/>
      <c r="J106" s="2">
        <f>IF(C106="","",IF(LEN(C106)&lt;&gt;13,"Nema 13 cifara (ima "&amp;LEN(C106)&amp;")",IF(L106="","JMBG sadrži nešto što nije cifra",IF(N106="","Nepostojeći datum rođenja",IF(VALUE(MID(C106,13,1))&lt;&gt;L106,"Pogrešna kontrolna cifra - treba "&amp;L106,"✓ ispravan")))))</f>
        <v/>
      </c>
      <c r="K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L106">
        <f>IF(K106="","",IF(11-MOD(K106,11)&gt;9,0,11-MOD(K106,11)))</f>
        <v/>
      </c>
      <c r="M106">
        <f>IFERROR(IF(LEN(C106)&lt;&gt;13,"",IF(VALUE(MID(C106,5,3))&gt;=800,1000,2000)+VALUE(MID(C106,5,3))),"")</f>
        <v/>
      </c>
      <c r="N106">
        <f>IFERROR(IF(M106="","",IF(AND(DAY(DATE(M106,VALUE(MID(C106,3,2)),VALUE(MID(C106,1,2))))=VALUE(MID(C106,1,2)),MONTH(DATE(M106,VALUE(MID(C106,3,2)),VALUE(MID(C106,1,2))))=VALUE(MID(C106,3,2))),DATE(M106,VALUE(MID(C106,3,2)),VALUE(MID(C106,1,2))),"")),"")</f>
        <v/>
      </c>
    </row>
    <row r="107">
      <c r="A107" s="2" t="n"/>
      <c r="B107" s="2" t="n"/>
      <c r="C107" s="3" t="n"/>
      <c r="D107" s="2" t="n"/>
      <c r="E107" s="4">
        <f>IF(A107="","",5)</f>
        <v/>
      </c>
      <c r="F107" s="2" t="n"/>
      <c r="G107" s="4" t="n"/>
      <c r="H107" s="2" t="n"/>
      <c r="I107" s="2" t="n"/>
      <c r="J107" s="2">
        <f>IF(C107="","",IF(LEN(C107)&lt;&gt;13,"Nema 13 cifara (ima "&amp;LEN(C107)&amp;")",IF(L107="","JMBG sadrži nešto što nije cifra",IF(N107="","Nepostojeći datum rođenja",IF(VALUE(MID(C107,13,1))&lt;&gt;L107,"Pogrešna kontrolna cifra - treba "&amp;L107,"✓ ispravan")))))</f>
        <v/>
      </c>
      <c r="K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L107">
        <f>IF(K107="","",IF(11-MOD(K107,11)&gt;9,0,11-MOD(K107,11)))</f>
        <v/>
      </c>
      <c r="M107">
        <f>IFERROR(IF(LEN(C107)&lt;&gt;13,"",IF(VALUE(MID(C107,5,3))&gt;=800,1000,2000)+VALUE(MID(C107,5,3))),"")</f>
        <v/>
      </c>
      <c r="N107">
        <f>IFERROR(IF(M107="","",IF(AND(DAY(DATE(M107,VALUE(MID(C107,3,2)),VALUE(MID(C107,1,2))))=VALUE(MID(C107,1,2)),MONTH(DATE(M107,VALUE(MID(C107,3,2)),VALUE(MID(C107,1,2))))=VALUE(MID(C107,3,2))),DATE(M107,VALUE(MID(C107,3,2)),VALUE(MID(C107,1,2))),"")),"")</f>
        <v/>
      </c>
    </row>
    <row r="108">
      <c r="A108" s="2" t="n"/>
      <c r="B108" s="2" t="n"/>
      <c r="C108" s="3" t="n"/>
      <c r="D108" s="2" t="n"/>
      <c r="E108" s="4">
        <f>IF(A108="","",5)</f>
        <v/>
      </c>
      <c r="F108" s="2" t="n"/>
      <c r="G108" s="4" t="n"/>
      <c r="H108" s="2" t="n"/>
      <c r="I108" s="2" t="n"/>
      <c r="J108" s="2">
        <f>IF(C108="","",IF(LEN(C108)&lt;&gt;13,"Nema 13 cifara (ima "&amp;LEN(C108)&amp;")",IF(L108="","JMBG sadrži nešto što nije cifra",IF(N108="","Nepostojeći datum rođenja",IF(VALUE(MID(C108,13,1))&lt;&gt;L108,"Pogrešna kontrolna cifra - treba "&amp;L108,"✓ ispravan")))))</f>
        <v/>
      </c>
      <c r="K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L108">
        <f>IF(K108="","",IF(11-MOD(K108,11)&gt;9,0,11-MOD(K108,11)))</f>
        <v/>
      </c>
      <c r="M108">
        <f>IFERROR(IF(LEN(C108)&lt;&gt;13,"",IF(VALUE(MID(C108,5,3))&gt;=800,1000,2000)+VALUE(MID(C108,5,3))),"")</f>
        <v/>
      </c>
      <c r="N108">
        <f>IFERROR(IF(M108="","",IF(AND(DAY(DATE(M108,VALUE(MID(C108,3,2)),VALUE(MID(C108,1,2))))=VALUE(MID(C108,1,2)),MONTH(DATE(M108,VALUE(MID(C108,3,2)),VALUE(MID(C108,1,2))))=VALUE(MID(C108,3,2))),DATE(M108,VALUE(MID(C108,3,2)),VALUE(MID(C108,1,2))),"")),"")</f>
        <v/>
      </c>
    </row>
    <row r="109">
      <c r="A109" s="2" t="n"/>
      <c r="B109" s="2" t="n"/>
      <c r="C109" s="3" t="n"/>
      <c r="D109" s="2" t="n"/>
      <c r="E109" s="4">
        <f>IF(A109="","",5)</f>
        <v/>
      </c>
      <c r="F109" s="2" t="n"/>
      <c r="G109" s="4" t="n"/>
      <c r="H109" s="2" t="n"/>
      <c r="I109" s="2" t="n"/>
      <c r="J109" s="2">
        <f>IF(C109="","",IF(LEN(C109)&lt;&gt;13,"Nema 13 cifara (ima "&amp;LEN(C109)&amp;")",IF(L109="","JMBG sadrži nešto što nije cifra",IF(N109="","Nepostojeći datum rođenja",IF(VALUE(MID(C109,13,1))&lt;&gt;L109,"Pogrešna kontrolna cifra - treba "&amp;L109,"✓ ispravan")))))</f>
        <v/>
      </c>
      <c r="K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L109">
        <f>IF(K109="","",IF(11-MOD(K109,11)&gt;9,0,11-MOD(K109,11)))</f>
        <v/>
      </c>
      <c r="M109">
        <f>IFERROR(IF(LEN(C109)&lt;&gt;13,"",IF(VALUE(MID(C109,5,3))&gt;=800,1000,2000)+VALUE(MID(C109,5,3))),"")</f>
        <v/>
      </c>
      <c r="N109">
        <f>IFERROR(IF(M109="","",IF(AND(DAY(DATE(M109,VALUE(MID(C109,3,2)),VALUE(MID(C109,1,2))))=VALUE(MID(C109,1,2)),MONTH(DATE(M109,VALUE(MID(C109,3,2)),VALUE(MID(C109,1,2))))=VALUE(MID(C109,3,2))),DATE(M109,VALUE(MID(C109,3,2)),VALUE(MID(C109,1,2))),"")),"")</f>
        <v/>
      </c>
    </row>
    <row r="110">
      <c r="A110" s="2" t="n"/>
      <c r="B110" s="2" t="n"/>
      <c r="C110" s="3" t="n"/>
      <c r="D110" s="2" t="n"/>
      <c r="E110" s="4">
        <f>IF(A110="","",5)</f>
        <v/>
      </c>
      <c r="F110" s="2" t="n"/>
      <c r="G110" s="4" t="n"/>
      <c r="H110" s="2" t="n"/>
      <c r="I110" s="2" t="n"/>
      <c r="J110" s="2">
        <f>IF(C110="","",IF(LEN(C110)&lt;&gt;13,"Nema 13 cifara (ima "&amp;LEN(C110)&amp;")",IF(L110="","JMBG sadrži nešto što nije cifra",IF(N110="","Nepostojeći datum rođenja",IF(VALUE(MID(C110,13,1))&lt;&gt;L110,"Pogrešna kontrolna cifra - treba "&amp;L110,"✓ ispravan")))))</f>
        <v/>
      </c>
      <c r="K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L110">
        <f>IF(K110="","",IF(11-MOD(K110,11)&gt;9,0,11-MOD(K110,11)))</f>
        <v/>
      </c>
      <c r="M110">
        <f>IFERROR(IF(LEN(C110)&lt;&gt;13,"",IF(VALUE(MID(C110,5,3))&gt;=800,1000,2000)+VALUE(MID(C110,5,3))),"")</f>
        <v/>
      </c>
      <c r="N110">
        <f>IFERROR(IF(M110="","",IF(AND(DAY(DATE(M110,VALUE(MID(C110,3,2)),VALUE(MID(C110,1,2))))=VALUE(MID(C110,1,2)),MONTH(DATE(M110,VALUE(MID(C110,3,2)),VALUE(MID(C110,1,2))))=VALUE(MID(C110,3,2))),DATE(M110,VALUE(MID(C110,3,2)),VALUE(MID(C110,1,2))),"")),"")</f>
        <v/>
      </c>
    </row>
    <row r="111">
      <c r="A111" s="2" t="n"/>
      <c r="B111" s="2" t="n"/>
      <c r="C111" s="3" t="n"/>
      <c r="D111" s="2" t="n"/>
      <c r="E111" s="4">
        <f>IF(A111="","",5)</f>
        <v/>
      </c>
      <c r="F111" s="2" t="n"/>
      <c r="G111" s="4" t="n"/>
      <c r="H111" s="2" t="n"/>
      <c r="I111" s="2" t="n"/>
      <c r="J111" s="2">
        <f>IF(C111="","",IF(LEN(C111)&lt;&gt;13,"Nema 13 cifara (ima "&amp;LEN(C111)&amp;")",IF(L111="","JMBG sadrži nešto što nije cifra",IF(N111="","Nepostojeći datum rođenja",IF(VALUE(MID(C111,13,1))&lt;&gt;L111,"Pogrešna kontrolna cifra - treba "&amp;L111,"✓ ispravan")))))</f>
        <v/>
      </c>
      <c r="K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L111">
        <f>IF(K111="","",IF(11-MOD(K111,11)&gt;9,0,11-MOD(K111,11)))</f>
        <v/>
      </c>
      <c r="M111">
        <f>IFERROR(IF(LEN(C111)&lt;&gt;13,"",IF(VALUE(MID(C111,5,3))&gt;=800,1000,2000)+VALUE(MID(C111,5,3))),"")</f>
        <v/>
      </c>
      <c r="N111">
        <f>IFERROR(IF(M111="","",IF(AND(DAY(DATE(M111,VALUE(MID(C111,3,2)),VALUE(MID(C111,1,2))))=VALUE(MID(C111,1,2)),MONTH(DATE(M111,VALUE(MID(C111,3,2)),VALUE(MID(C111,1,2))))=VALUE(MID(C111,3,2))),DATE(M111,VALUE(MID(C111,3,2)),VALUE(MID(C111,1,2))),"")),"")</f>
        <v/>
      </c>
    </row>
    <row r="112">
      <c r="A112" s="2" t="n"/>
      <c r="B112" s="2" t="n"/>
      <c r="C112" s="3" t="n"/>
      <c r="D112" s="2" t="n"/>
      <c r="E112" s="4">
        <f>IF(A112="","",5)</f>
        <v/>
      </c>
      <c r="F112" s="2" t="n"/>
      <c r="G112" s="4" t="n"/>
      <c r="H112" s="2" t="n"/>
      <c r="I112" s="2" t="n"/>
      <c r="J112" s="2">
        <f>IF(C112="","",IF(LEN(C112)&lt;&gt;13,"Nema 13 cifara (ima "&amp;LEN(C112)&amp;")",IF(L112="","JMBG sadrži nešto što nije cifra",IF(N112="","Nepostojeći datum rođenja",IF(VALUE(MID(C112,13,1))&lt;&gt;L112,"Pogrešna kontrolna cifra - treba "&amp;L112,"✓ ispravan")))))</f>
        <v/>
      </c>
      <c r="K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L112">
        <f>IF(K112="","",IF(11-MOD(K112,11)&gt;9,0,11-MOD(K112,11)))</f>
        <v/>
      </c>
      <c r="M112">
        <f>IFERROR(IF(LEN(C112)&lt;&gt;13,"",IF(VALUE(MID(C112,5,3))&gt;=800,1000,2000)+VALUE(MID(C112,5,3))),"")</f>
        <v/>
      </c>
      <c r="N112">
        <f>IFERROR(IF(M112="","",IF(AND(DAY(DATE(M112,VALUE(MID(C112,3,2)),VALUE(MID(C112,1,2))))=VALUE(MID(C112,1,2)),MONTH(DATE(M112,VALUE(MID(C112,3,2)),VALUE(MID(C112,1,2))))=VALUE(MID(C112,3,2))),DATE(M112,VALUE(MID(C112,3,2)),VALUE(MID(C112,1,2))),"")),"")</f>
        <v/>
      </c>
    </row>
    <row r="113">
      <c r="A113" s="2" t="n"/>
      <c r="B113" s="2" t="n"/>
      <c r="C113" s="3" t="n"/>
      <c r="D113" s="2" t="n"/>
      <c r="E113" s="4">
        <f>IF(A113="","",5)</f>
        <v/>
      </c>
      <c r="F113" s="2" t="n"/>
      <c r="G113" s="4" t="n"/>
      <c r="H113" s="2" t="n"/>
      <c r="I113" s="2" t="n"/>
      <c r="J113" s="2">
        <f>IF(C113="","",IF(LEN(C113)&lt;&gt;13,"Nema 13 cifara (ima "&amp;LEN(C113)&amp;")",IF(L113="","JMBG sadrži nešto što nije cifra",IF(N113="","Nepostojeći datum rođenja",IF(VALUE(MID(C113,13,1))&lt;&gt;L113,"Pogrešna kontrolna cifra - treba "&amp;L113,"✓ ispravan")))))</f>
        <v/>
      </c>
      <c r="K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L113">
        <f>IF(K113="","",IF(11-MOD(K113,11)&gt;9,0,11-MOD(K113,11)))</f>
        <v/>
      </c>
      <c r="M113">
        <f>IFERROR(IF(LEN(C113)&lt;&gt;13,"",IF(VALUE(MID(C113,5,3))&gt;=800,1000,2000)+VALUE(MID(C113,5,3))),"")</f>
        <v/>
      </c>
      <c r="N113">
        <f>IFERROR(IF(M113="","",IF(AND(DAY(DATE(M113,VALUE(MID(C113,3,2)),VALUE(MID(C113,1,2))))=VALUE(MID(C113,1,2)),MONTH(DATE(M113,VALUE(MID(C113,3,2)),VALUE(MID(C113,1,2))))=VALUE(MID(C113,3,2))),DATE(M113,VALUE(MID(C113,3,2)),VALUE(MID(C113,1,2))),"")),"")</f>
        <v/>
      </c>
    </row>
    <row r="114">
      <c r="A114" s="2" t="n"/>
      <c r="B114" s="2" t="n"/>
      <c r="C114" s="3" t="n"/>
      <c r="D114" s="2" t="n"/>
      <c r="E114" s="4">
        <f>IF(A114="","",5)</f>
        <v/>
      </c>
      <c r="F114" s="2" t="n"/>
      <c r="G114" s="4" t="n"/>
      <c r="H114" s="2" t="n"/>
      <c r="I114" s="2" t="n"/>
      <c r="J114" s="2">
        <f>IF(C114="","",IF(LEN(C114)&lt;&gt;13,"Nema 13 cifara (ima "&amp;LEN(C114)&amp;")",IF(L114="","JMBG sadrži nešto što nije cifra",IF(N114="","Nepostojeći datum rođenja",IF(VALUE(MID(C114,13,1))&lt;&gt;L114,"Pogrešna kontrolna cifra - treba "&amp;L114,"✓ ispravan")))))</f>
        <v/>
      </c>
      <c r="K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L114">
        <f>IF(K114="","",IF(11-MOD(K114,11)&gt;9,0,11-MOD(K114,11)))</f>
        <v/>
      </c>
      <c r="M114">
        <f>IFERROR(IF(LEN(C114)&lt;&gt;13,"",IF(VALUE(MID(C114,5,3))&gt;=800,1000,2000)+VALUE(MID(C114,5,3))),"")</f>
        <v/>
      </c>
      <c r="N114">
        <f>IFERROR(IF(M114="","",IF(AND(DAY(DATE(M114,VALUE(MID(C114,3,2)),VALUE(MID(C114,1,2))))=VALUE(MID(C114,1,2)),MONTH(DATE(M114,VALUE(MID(C114,3,2)),VALUE(MID(C114,1,2))))=VALUE(MID(C114,3,2))),DATE(M114,VALUE(MID(C114,3,2)),VALUE(MID(C114,1,2))),"")),"")</f>
        <v/>
      </c>
    </row>
    <row r="115">
      <c r="A115" s="2" t="n"/>
      <c r="B115" s="2" t="n"/>
      <c r="C115" s="3" t="n"/>
      <c r="D115" s="2" t="n"/>
      <c r="E115" s="4">
        <f>IF(A115="","",5)</f>
        <v/>
      </c>
      <c r="F115" s="2" t="n"/>
      <c r="G115" s="4" t="n"/>
      <c r="H115" s="2" t="n"/>
      <c r="I115" s="2" t="n"/>
      <c r="J115" s="2">
        <f>IF(C115="","",IF(LEN(C115)&lt;&gt;13,"Nema 13 cifara (ima "&amp;LEN(C115)&amp;")",IF(L115="","JMBG sadrži nešto što nije cifra",IF(N115="","Nepostojeći datum rođenja",IF(VALUE(MID(C115,13,1))&lt;&gt;L115,"Pogrešna kontrolna cifra - treba "&amp;L115,"✓ ispravan")))))</f>
        <v/>
      </c>
      <c r="K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L115">
        <f>IF(K115="","",IF(11-MOD(K115,11)&gt;9,0,11-MOD(K115,11)))</f>
        <v/>
      </c>
      <c r="M115">
        <f>IFERROR(IF(LEN(C115)&lt;&gt;13,"",IF(VALUE(MID(C115,5,3))&gt;=800,1000,2000)+VALUE(MID(C115,5,3))),"")</f>
        <v/>
      </c>
      <c r="N115">
        <f>IFERROR(IF(M115="","",IF(AND(DAY(DATE(M115,VALUE(MID(C115,3,2)),VALUE(MID(C115,1,2))))=VALUE(MID(C115,1,2)),MONTH(DATE(M115,VALUE(MID(C115,3,2)),VALUE(MID(C115,1,2))))=VALUE(MID(C115,3,2))),DATE(M115,VALUE(MID(C115,3,2)),VALUE(MID(C115,1,2))),"")),"")</f>
        <v/>
      </c>
    </row>
    <row r="116">
      <c r="A116" s="2" t="n"/>
      <c r="B116" s="2" t="n"/>
      <c r="C116" s="3" t="n"/>
      <c r="D116" s="2" t="n"/>
      <c r="E116" s="4">
        <f>IF(A116="","",5)</f>
        <v/>
      </c>
      <c r="F116" s="2" t="n"/>
      <c r="G116" s="4" t="n"/>
      <c r="H116" s="2" t="n"/>
      <c r="I116" s="2" t="n"/>
      <c r="J116" s="2">
        <f>IF(C116="","",IF(LEN(C116)&lt;&gt;13,"Nema 13 cifara (ima "&amp;LEN(C116)&amp;")",IF(L116="","JMBG sadrži nešto što nije cifra",IF(N116="","Nepostojeći datum rođenja",IF(VALUE(MID(C116,13,1))&lt;&gt;L116,"Pogrešna kontrolna cifra - treba "&amp;L116,"✓ ispravan")))))</f>
        <v/>
      </c>
      <c r="K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L116">
        <f>IF(K116="","",IF(11-MOD(K116,11)&gt;9,0,11-MOD(K116,11)))</f>
        <v/>
      </c>
      <c r="M116">
        <f>IFERROR(IF(LEN(C116)&lt;&gt;13,"",IF(VALUE(MID(C116,5,3))&gt;=800,1000,2000)+VALUE(MID(C116,5,3))),"")</f>
        <v/>
      </c>
      <c r="N116">
        <f>IFERROR(IF(M116="","",IF(AND(DAY(DATE(M116,VALUE(MID(C116,3,2)),VALUE(MID(C116,1,2))))=VALUE(MID(C116,1,2)),MONTH(DATE(M116,VALUE(MID(C116,3,2)),VALUE(MID(C116,1,2))))=VALUE(MID(C116,3,2))),DATE(M116,VALUE(MID(C116,3,2)),VALUE(MID(C116,1,2))),"")),"")</f>
        <v/>
      </c>
    </row>
    <row r="117">
      <c r="A117" s="2" t="n"/>
      <c r="B117" s="2" t="n"/>
      <c r="C117" s="3" t="n"/>
      <c r="D117" s="2" t="n"/>
      <c r="E117" s="4">
        <f>IF(A117="","",5)</f>
        <v/>
      </c>
      <c r="F117" s="2" t="n"/>
      <c r="G117" s="4" t="n"/>
      <c r="H117" s="2" t="n"/>
      <c r="I117" s="2" t="n"/>
      <c r="J117" s="2">
        <f>IF(C117="","",IF(LEN(C117)&lt;&gt;13,"Nema 13 cifara (ima "&amp;LEN(C117)&amp;")",IF(L117="","JMBG sadrži nešto što nije cifra",IF(N117="","Nepostojeći datum rođenja",IF(VALUE(MID(C117,13,1))&lt;&gt;L117,"Pogrešna kontrolna cifra - treba "&amp;L117,"✓ ispravan")))))</f>
        <v/>
      </c>
      <c r="K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L117">
        <f>IF(K117="","",IF(11-MOD(K117,11)&gt;9,0,11-MOD(K117,11)))</f>
        <v/>
      </c>
      <c r="M117">
        <f>IFERROR(IF(LEN(C117)&lt;&gt;13,"",IF(VALUE(MID(C117,5,3))&gt;=800,1000,2000)+VALUE(MID(C117,5,3))),"")</f>
        <v/>
      </c>
      <c r="N117">
        <f>IFERROR(IF(M117="","",IF(AND(DAY(DATE(M117,VALUE(MID(C117,3,2)),VALUE(MID(C117,1,2))))=VALUE(MID(C117,1,2)),MONTH(DATE(M117,VALUE(MID(C117,3,2)),VALUE(MID(C117,1,2))))=VALUE(MID(C117,3,2))),DATE(M117,VALUE(MID(C117,3,2)),VALUE(MID(C117,1,2))),"")),"")</f>
        <v/>
      </c>
    </row>
    <row r="118">
      <c r="A118" s="2" t="n"/>
      <c r="B118" s="2" t="n"/>
      <c r="C118" s="3" t="n"/>
      <c r="D118" s="2" t="n"/>
      <c r="E118" s="4">
        <f>IF(A118="","",5)</f>
        <v/>
      </c>
      <c r="F118" s="2" t="n"/>
      <c r="G118" s="4" t="n"/>
      <c r="H118" s="2" t="n"/>
      <c r="I118" s="2" t="n"/>
      <c r="J118" s="2">
        <f>IF(C118="","",IF(LEN(C118)&lt;&gt;13,"Nema 13 cifara (ima "&amp;LEN(C118)&amp;")",IF(L118="","JMBG sadrži nešto što nije cifra",IF(N118="","Nepostojeći datum rođenja",IF(VALUE(MID(C118,13,1))&lt;&gt;L118,"Pogrešna kontrolna cifra - treba "&amp;L118,"✓ ispravan")))))</f>
        <v/>
      </c>
      <c r="K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L118">
        <f>IF(K118="","",IF(11-MOD(K118,11)&gt;9,0,11-MOD(K118,11)))</f>
        <v/>
      </c>
      <c r="M118">
        <f>IFERROR(IF(LEN(C118)&lt;&gt;13,"",IF(VALUE(MID(C118,5,3))&gt;=800,1000,2000)+VALUE(MID(C118,5,3))),"")</f>
        <v/>
      </c>
      <c r="N118">
        <f>IFERROR(IF(M118="","",IF(AND(DAY(DATE(M118,VALUE(MID(C118,3,2)),VALUE(MID(C118,1,2))))=VALUE(MID(C118,1,2)),MONTH(DATE(M118,VALUE(MID(C118,3,2)),VALUE(MID(C118,1,2))))=VALUE(MID(C118,3,2))),DATE(M118,VALUE(MID(C118,3,2)),VALUE(MID(C118,1,2))),"")),"")</f>
        <v/>
      </c>
    </row>
    <row r="119">
      <c r="A119" s="2" t="n"/>
      <c r="B119" s="2" t="n"/>
      <c r="C119" s="3" t="n"/>
      <c r="D119" s="2" t="n"/>
      <c r="E119" s="4">
        <f>IF(A119="","",5)</f>
        <v/>
      </c>
      <c r="F119" s="2" t="n"/>
      <c r="G119" s="4" t="n"/>
      <c r="H119" s="2" t="n"/>
      <c r="I119" s="2" t="n"/>
      <c r="J119" s="2">
        <f>IF(C119="","",IF(LEN(C119)&lt;&gt;13,"Nema 13 cifara (ima "&amp;LEN(C119)&amp;")",IF(L119="","JMBG sadrži nešto što nije cifra",IF(N119="","Nepostojeći datum rođenja",IF(VALUE(MID(C119,13,1))&lt;&gt;L119,"Pogrešna kontrolna cifra - treba "&amp;L119,"✓ ispravan")))))</f>
        <v/>
      </c>
      <c r="K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L119">
        <f>IF(K119="","",IF(11-MOD(K119,11)&gt;9,0,11-MOD(K119,11)))</f>
        <v/>
      </c>
      <c r="M119">
        <f>IFERROR(IF(LEN(C119)&lt;&gt;13,"",IF(VALUE(MID(C119,5,3))&gt;=800,1000,2000)+VALUE(MID(C119,5,3))),"")</f>
        <v/>
      </c>
      <c r="N119">
        <f>IFERROR(IF(M119="","",IF(AND(DAY(DATE(M119,VALUE(MID(C119,3,2)),VALUE(MID(C119,1,2))))=VALUE(MID(C119,1,2)),MONTH(DATE(M119,VALUE(MID(C119,3,2)),VALUE(MID(C119,1,2))))=VALUE(MID(C119,3,2))),DATE(M119,VALUE(MID(C119,3,2)),VALUE(MID(C119,1,2))),"")),"")</f>
        <v/>
      </c>
    </row>
    <row r="120">
      <c r="A120" s="2" t="n"/>
      <c r="B120" s="2" t="n"/>
      <c r="C120" s="3" t="n"/>
      <c r="D120" s="2" t="n"/>
      <c r="E120" s="4">
        <f>IF(A120="","",5)</f>
        <v/>
      </c>
      <c r="F120" s="2" t="n"/>
      <c r="G120" s="4" t="n"/>
      <c r="H120" s="2" t="n"/>
      <c r="I120" s="2" t="n"/>
      <c r="J120" s="2">
        <f>IF(C120="","",IF(LEN(C120)&lt;&gt;13,"Nema 13 cifara (ima "&amp;LEN(C120)&amp;")",IF(L120="","JMBG sadrži nešto što nije cifra",IF(N120="","Nepostojeći datum rođenja",IF(VALUE(MID(C120,13,1))&lt;&gt;L120,"Pogrešna kontrolna cifra - treba "&amp;L120,"✓ ispravan")))))</f>
        <v/>
      </c>
      <c r="K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L120">
        <f>IF(K120="","",IF(11-MOD(K120,11)&gt;9,0,11-MOD(K120,11)))</f>
        <v/>
      </c>
      <c r="M120">
        <f>IFERROR(IF(LEN(C120)&lt;&gt;13,"",IF(VALUE(MID(C120,5,3))&gt;=800,1000,2000)+VALUE(MID(C120,5,3))),"")</f>
        <v/>
      </c>
      <c r="N120">
        <f>IFERROR(IF(M120="","",IF(AND(DAY(DATE(M120,VALUE(MID(C120,3,2)),VALUE(MID(C120,1,2))))=VALUE(MID(C120,1,2)),MONTH(DATE(M120,VALUE(MID(C120,3,2)),VALUE(MID(C120,1,2))))=VALUE(MID(C120,3,2))),DATE(M120,VALUE(MID(C120,3,2)),VALUE(MID(C120,1,2))),"")),"")</f>
        <v/>
      </c>
    </row>
    <row r="121">
      <c r="A121" s="2" t="n"/>
      <c r="B121" s="2" t="n"/>
      <c r="C121" s="3" t="n"/>
      <c r="D121" s="2" t="n"/>
      <c r="E121" s="4">
        <f>IF(A121="","",5)</f>
        <v/>
      </c>
      <c r="F121" s="2" t="n"/>
      <c r="G121" s="4" t="n"/>
      <c r="H121" s="2" t="n"/>
      <c r="I121" s="2" t="n"/>
      <c r="J121" s="2">
        <f>IF(C121="","",IF(LEN(C121)&lt;&gt;13,"Nema 13 cifara (ima "&amp;LEN(C121)&amp;")",IF(L121="","JMBG sadrži nešto što nije cifra",IF(N121="","Nepostojeći datum rođenja",IF(VALUE(MID(C121,13,1))&lt;&gt;L121,"Pogrešna kontrolna cifra - treba "&amp;L121,"✓ ispravan")))))</f>
        <v/>
      </c>
      <c r="K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L121">
        <f>IF(K121="","",IF(11-MOD(K121,11)&gt;9,0,11-MOD(K121,11)))</f>
        <v/>
      </c>
      <c r="M121">
        <f>IFERROR(IF(LEN(C121)&lt;&gt;13,"",IF(VALUE(MID(C121,5,3))&gt;=800,1000,2000)+VALUE(MID(C121,5,3))),"")</f>
        <v/>
      </c>
      <c r="N121">
        <f>IFERROR(IF(M121="","",IF(AND(DAY(DATE(M121,VALUE(MID(C121,3,2)),VALUE(MID(C121,1,2))))=VALUE(MID(C121,1,2)),MONTH(DATE(M121,VALUE(MID(C121,3,2)),VALUE(MID(C121,1,2))))=VALUE(MID(C121,3,2))),DATE(M121,VALUE(MID(C121,3,2)),VALUE(MID(C121,1,2))),"")),"")</f>
        <v/>
      </c>
    </row>
    <row r="122">
      <c r="A122" s="2" t="n"/>
      <c r="B122" s="2" t="n"/>
      <c r="C122" s="3" t="n"/>
      <c r="D122" s="2" t="n"/>
      <c r="E122" s="4">
        <f>IF(A122="","",5)</f>
        <v/>
      </c>
      <c r="F122" s="2" t="n"/>
      <c r="G122" s="4" t="n"/>
      <c r="H122" s="2" t="n"/>
      <c r="I122" s="2" t="n"/>
      <c r="J122" s="2">
        <f>IF(C122="","",IF(LEN(C122)&lt;&gt;13,"Nema 13 cifara (ima "&amp;LEN(C122)&amp;")",IF(L122="","JMBG sadrži nešto što nije cifra",IF(N122="","Nepostojeći datum rođenja",IF(VALUE(MID(C122,13,1))&lt;&gt;L122,"Pogrešna kontrolna cifra - treba "&amp;L122,"✓ ispravan")))))</f>
        <v/>
      </c>
      <c r="K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L122">
        <f>IF(K122="","",IF(11-MOD(K122,11)&gt;9,0,11-MOD(K122,11)))</f>
        <v/>
      </c>
      <c r="M122">
        <f>IFERROR(IF(LEN(C122)&lt;&gt;13,"",IF(VALUE(MID(C122,5,3))&gt;=800,1000,2000)+VALUE(MID(C122,5,3))),"")</f>
        <v/>
      </c>
      <c r="N122">
        <f>IFERROR(IF(M122="","",IF(AND(DAY(DATE(M122,VALUE(MID(C122,3,2)),VALUE(MID(C122,1,2))))=VALUE(MID(C122,1,2)),MONTH(DATE(M122,VALUE(MID(C122,3,2)),VALUE(MID(C122,1,2))))=VALUE(MID(C122,3,2))),DATE(M122,VALUE(MID(C122,3,2)),VALUE(MID(C122,1,2))),"")),"")</f>
        <v/>
      </c>
    </row>
    <row r="123">
      <c r="A123" s="2" t="n"/>
      <c r="B123" s="2" t="n"/>
      <c r="C123" s="3" t="n"/>
      <c r="D123" s="2" t="n"/>
      <c r="E123" s="4">
        <f>IF(A123="","",5)</f>
        <v/>
      </c>
      <c r="F123" s="2" t="n"/>
      <c r="G123" s="4" t="n"/>
      <c r="H123" s="2" t="n"/>
      <c r="I123" s="2" t="n"/>
      <c r="J123" s="2">
        <f>IF(C123="","",IF(LEN(C123)&lt;&gt;13,"Nema 13 cifara (ima "&amp;LEN(C123)&amp;")",IF(L123="","JMBG sadrži nešto što nije cifra",IF(N123="","Nepostojeći datum rođenja",IF(VALUE(MID(C123,13,1))&lt;&gt;L123,"Pogrešna kontrolna cifra - treba "&amp;L123,"✓ ispravan")))))</f>
        <v/>
      </c>
      <c r="K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L123">
        <f>IF(K123="","",IF(11-MOD(K123,11)&gt;9,0,11-MOD(K123,11)))</f>
        <v/>
      </c>
      <c r="M123">
        <f>IFERROR(IF(LEN(C123)&lt;&gt;13,"",IF(VALUE(MID(C123,5,3))&gt;=800,1000,2000)+VALUE(MID(C123,5,3))),"")</f>
        <v/>
      </c>
      <c r="N123">
        <f>IFERROR(IF(M123="","",IF(AND(DAY(DATE(M123,VALUE(MID(C123,3,2)),VALUE(MID(C123,1,2))))=VALUE(MID(C123,1,2)),MONTH(DATE(M123,VALUE(MID(C123,3,2)),VALUE(MID(C123,1,2))))=VALUE(MID(C123,3,2))),DATE(M123,VALUE(MID(C123,3,2)),VALUE(MID(C123,1,2))),"")),"")</f>
        <v/>
      </c>
    </row>
    <row r="124">
      <c r="A124" s="2" t="n"/>
      <c r="B124" s="2" t="n"/>
      <c r="C124" s="3" t="n"/>
      <c r="D124" s="2" t="n"/>
      <c r="E124" s="4">
        <f>IF(A124="","",5)</f>
        <v/>
      </c>
      <c r="F124" s="2" t="n"/>
      <c r="G124" s="4" t="n"/>
      <c r="H124" s="2" t="n"/>
      <c r="I124" s="2" t="n"/>
      <c r="J124" s="2">
        <f>IF(C124="","",IF(LEN(C124)&lt;&gt;13,"Nema 13 cifara (ima "&amp;LEN(C124)&amp;")",IF(L124="","JMBG sadrži nešto što nije cifra",IF(N124="","Nepostojeći datum rođenja",IF(VALUE(MID(C124,13,1))&lt;&gt;L124,"Pogrešna kontrolna cifra - treba "&amp;L124,"✓ ispravan")))))</f>
        <v/>
      </c>
      <c r="K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L124">
        <f>IF(K124="","",IF(11-MOD(K124,11)&gt;9,0,11-MOD(K124,11)))</f>
        <v/>
      </c>
      <c r="M124">
        <f>IFERROR(IF(LEN(C124)&lt;&gt;13,"",IF(VALUE(MID(C124,5,3))&gt;=800,1000,2000)+VALUE(MID(C124,5,3))),"")</f>
        <v/>
      </c>
      <c r="N124">
        <f>IFERROR(IF(M124="","",IF(AND(DAY(DATE(M124,VALUE(MID(C124,3,2)),VALUE(MID(C124,1,2))))=VALUE(MID(C124,1,2)),MONTH(DATE(M124,VALUE(MID(C124,3,2)),VALUE(MID(C124,1,2))))=VALUE(MID(C124,3,2))),DATE(M124,VALUE(MID(C124,3,2)),VALUE(MID(C124,1,2))),"")),"")</f>
        <v/>
      </c>
    </row>
    <row r="125">
      <c r="A125" s="2" t="n"/>
      <c r="B125" s="2" t="n"/>
      <c r="C125" s="3" t="n"/>
      <c r="D125" s="2" t="n"/>
      <c r="E125" s="4">
        <f>IF(A125="","",5)</f>
        <v/>
      </c>
      <c r="F125" s="2" t="n"/>
      <c r="G125" s="4" t="n"/>
      <c r="H125" s="2" t="n"/>
      <c r="I125" s="2" t="n"/>
      <c r="J125" s="2">
        <f>IF(C125="","",IF(LEN(C125)&lt;&gt;13,"Nema 13 cifara (ima "&amp;LEN(C125)&amp;")",IF(L125="","JMBG sadrži nešto što nije cifra",IF(N125="","Nepostojeći datum rođenja",IF(VALUE(MID(C125,13,1))&lt;&gt;L125,"Pogrešna kontrolna cifra - treba "&amp;L125,"✓ ispravan")))))</f>
        <v/>
      </c>
      <c r="K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L125">
        <f>IF(K125="","",IF(11-MOD(K125,11)&gt;9,0,11-MOD(K125,11)))</f>
        <v/>
      </c>
      <c r="M125">
        <f>IFERROR(IF(LEN(C125)&lt;&gt;13,"",IF(VALUE(MID(C125,5,3))&gt;=800,1000,2000)+VALUE(MID(C125,5,3))),"")</f>
        <v/>
      </c>
      <c r="N125">
        <f>IFERROR(IF(M125="","",IF(AND(DAY(DATE(M125,VALUE(MID(C125,3,2)),VALUE(MID(C125,1,2))))=VALUE(MID(C125,1,2)),MONTH(DATE(M125,VALUE(MID(C125,3,2)),VALUE(MID(C125,1,2))))=VALUE(MID(C125,3,2))),DATE(M125,VALUE(MID(C125,3,2)),VALUE(MID(C125,1,2))),"")),"")</f>
        <v/>
      </c>
    </row>
    <row r="126">
      <c r="A126" s="2" t="n"/>
      <c r="B126" s="2" t="n"/>
      <c r="C126" s="3" t="n"/>
      <c r="D126" s="2" t="n"/>
      <c r="E126" s="4">
        <f>IF(A126="","",5)</f>
        <v/>
      </c>
      <c r="F126" s="2" t="n"/>
      <c r="G126" s="4" t="n"/>
      <c r="H126" s="2" t="n"/>
      <c r="I126" s="2" t="n"/>
      <c r="J126" s="2">
        <f>IF(C126="","",IF(LEN(C126)&lt;&gt;13,"Nema 13 cifara (ima "&amp;LEN(C126)&amp;")",IF(L126="","JMBG sadrži nešto što nije cifra",IF(N126="","Nepostojeći datum rođenja",IF(VALUE(MID(C126,13,1))&lt;&gt;L126,"Pogrešna kontrolna cifra - treba "&amp;L126,"✓ ispravan")))))</f>
        <v/>
      </c>
      <c r="K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L126">
        <f>IF(K126="","",IF(11-MOD(K126,11)&gt;9,0,11-MOD(K126,11)))</f>
        <v/>
      </c>
      <c r="M126">
        <f>IFERROR(IF(LEN(C126)&lt;&gt;13,"",IF(VALUE(MID(C126,5,3))&gt;=800,1000,2000)+VALUE(MID(C126,5,3))),"")</f>
        <v/>
      </c>
      <c r="N126">
        <f>IFERROR(IF(M126="","",IF(AND(DAY(DATE(M126,VALUE(MID(C126,3,2)),VALUE(MID(C126,1,2))))=VALUE(MID(C126,1,2)),MONTH(DATE(M126,VALUE(MID(C126,3,2)),VALUE(MID(C126,1,2))))=VALUE(MID(C126,3,2))),DATE(M126,VALUE(MID(C126,3,2)),VALUE(MID(C126,1,2))),"")),"")</f>
        <v/>
      </c>
    </row>
    <row r="127">
      <c r="A127" s="2" t="n"/>
      <c r="B127" s="2" t="n"/>
      <c r="C127" s="3" t="n"/>
      <c r="D127" s="2" t="n"/>
      <c r="E127" s="4">
        <f>IF(A127="","",5)</f>
        <v/>
      </c>
      <c r="F127" s="2" t="n"/>
      <c r="G127" s="4" t="n"/>
      <c r="H127" s="2" t="n"/>
      <c r="I127" s="2" t="n"/>
      <c r="J127" s="2">
        <f>IF(C127="","",IF(LEN(C127)&lt;&gt;13,"Nema 13 cifara (ima "&amp;LEN(C127)&amp;")",IF(L127="","JMBG sadrži nešto što nije cifra",IF(N127="","Nepostojeći datum rođenja",IF(VALUE(MID(C127,13,1))&lt;&gt;L127,"Pogrešna kontrolna cifra - treba "&amp;L127,"✓ ispravan")))))</f>
        <v/>
      </c>
      <c r="K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L127">
        <f>IF(K127="","",IF(11-MOD(K127,11)&gt;9,0,11-MOD(K127,11)))</f>
        <v/>
      </c>
      <c r="M127">
        <f>IFERROR(IF(LEN(C127)&lt;&gt;13,"",IF(VALUE(MID(C127,5,3))&gt;=800,1000,2000)+VALUE(MID(C127,5,3))),"")</f>
        <v/>
      </c>
      <c r="N127">
        <f>IFERROR(IF(M127="","",IF(AND(DAY(DATE(M127,VALUE(MID(C127,3,2)),VALUE(MID(C127,1,2))))=VALUE(MID(C127,1,2)),MONTH(DATE(M127,VALUE(MID(C127,3,2)),VALUE(MID(C127,1,2))))=VALUE(MID(C127,3,2))),DATE(M127,VALUE(MID(C127,3,2)),VALUE(MID(C127,1,2))),"")),"")</f>
        <v/>
      </c>
    </row>
    <row r="128">
      <c r="A128" s="2" t="n"/>
      <c r="B128" s="2" t="n"/>
      <c r="C128" s="3" t="n"/>
      <c r="D128" s="2" t="n"/>
      <c r="E128" s="4">
        <f>IF(A128="","",5)</f>
        <v/>
      </c>
      <c r="F128" s="2" t="n"/>
      <c r="G128" s="4" t="n"/>
      <c r="H128" s="2" t="n"/>
      <c r="I128" s="2" t="n"/>
      <c r="J128" s="2">
        <f>IF(C128="","",IF(LEN(C128)&lt;&gt;13,"Nema 13 cifara (ima "&amp;LEN(C128)&amp;")",IF(L128="","JMBG sadrži nešto što nije cifra",IF(N128="","Nepostojeći datum rođenja",IF(VALUE(MID(C128,13,1))&lt;&gt;L128,"Pogrešna kontrolna cifra - treba "&amp;L128,"✓ ispravan")))))</f>
        <v/>
      </c>
      <c r="K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L128">
        <f>IF(K128="","",IF(11-MOD(K128,11)&gt;9,0,11-MOD(K128,11)))</f>
        <v/>
      </c>
      <c r="M128">
        <f>IFERROR(IF(LEN(C128)&lt;&gt;13,"",IF(VALUE(MID(C128,5,3))&gt;=800,1000,2000)+VALUE(MID(C128,5,3))),"")</f>
        <v/>
      </c>
      <c r="N128">
        <f>IFERROR(IF(M128="","",IF(AND(DAY(DATE(M128,VALUE(MID(C128,3,2)),VALUE(MID(C128,1,2))))=VALUE(MID(C128,1,2)),MONTH(DATE(M128,VALUE(MID(C128,3,2)),VALUE(MID(C128,1,2))))=VALUE(MID(C128,3,2))),DATE(M128,VALUE(MID(C128,3,2)),VALUE(MID(C128,1,2))),"")),"")</f>
        <v/>
      </c>
    </row>
    <row r="129">
      <c r="A129" s="2" t="n"/>
      <c r="B129" s="2" t="n"/>
      <c r="C129" s="3" t="n"/>
      <c r="D129" s="2" t="n"/>
      <c r="E129" s="4">
        <f>IF(A129="","",5)</f>
        <v/>
      </c>
      <c r="F129" s="2" t="n"/>
      <c r="G129" s="4" t="n"/>
      <c r="H129" s="2" t="n"/>
      <c r="I129" s="2" t="n"/>
      <c r="J129" s="2">
        <f>IF(C129="","",IF(LEN(C129)&lt;&gt;13,"Nema 13 cifara (ima "&amp;LEN(C129)&amp;")",IF(L129="","JMBG sadrži nešto što nije cifra",IF(N129="","Nepostojeći datum rođenja",IF(VALUE(MID(C129,13,1))&lt;&gt;L129,"Pogrešna kontrolna cifra - treba "&amp;L129,"✓ ispravan")))))</f>
        <v/>
      </c>
      <c r="K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L129">
        <f>IF(K129="","",IF(11-MOD(K129,11)&gt;9,0,11-MOD(K129,11)))</f>
        <v/>
      </c>
      <c r="M129">
        <f>IFERROR(IF(LEN(C129)&lt;&gt;13,"",IF(VALUE(MID(C129,5,3))&gt;=800,1000,2000)+VALUE(MID(C129,5,3))),"")</f>
        <v/>
      </c>
      <c r="N129">
        <f>IFERROR(IF(M129="","",IF(AND(DAY(DATE(M129,VALUE(MID(C129,3,2)),VALUE(MID(C129,1,2))))=VALUE(MID(C129,1,2)),MONTH(DATE(M129,VALUE(MID(C129,3,2)),VALUE(MID(C129,1,2))))=VALUE(MID(C129,3,2))),DATE(M129,VALUE(MID(C129,3,2)),VALUE(MID(C129,1,2))),"")),"")</f>
        <v/>
      </c>
    </row>
    <row r="130">
      <c r="A130" s="2" t="n"/>
      <c r="B130" s="2" t="n"/>
      <c r="C130" s="3" t="n"/>
      <c r="D130" s="2" t="n"/>
      <c r="E130" s="4">
        <f>IF(A130="","",5)</f>
        <v/>
      </c>
      <c r="F130" s="2" t="n"/>
      <c r="G130" s="4" t="n"/>
      <c r="H130" s="2" t="n"/>
      <c r="I130" s="2" t="n"/>
      <c r="J130" s="2">
        <f>IF(C130="","",IF(LEN(C130)&lt;&gt;13,"Nema 13 cifara (ima "&amp;LEN(C130)&amp;")",IF(L130="","JMBG sadrži nešto što nije cifra",IF(N130="","Nepostojeći datum rođenja",IF(VALUE(MID(C130,13,1))&lt;&gt;L130,"Pogrešna kontrolna cifra - treba "&amp;L130,"✓ ispravan")))))</f>
        <v/>
      </c>
      <c r="K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L130">
        <f>IF(K130="","",IF(11-MOD(K130,11)&gt;9,0,11-MOD(K130,11)))</f>
        <v/>
      </c>
      <c r="M130">
        <f>IFERROR(IF(LEN(C130)&lt;&gt;13,"",IF(VALUE(MID(C130,5,3))&gt;=800,1000,2000)+VALUE(MID(C130,5,3))),"")</f>
        <v/>
      </c>
      <c r="N130">
        <f>IFERROR(IF(M130="","",IF(AND(DAY(DATE(M130,VALUE(MID(C130,3,2)),VALUE(MID(C130,1,2))))=VALUE(MID(C130,1,2)),MONTH(DATE(M130,VALUE(MID(C130,3,2)),VALUE(MID(C130,1,2))))=VALUE(MID(C130,3,2))),DATE(M130,VALUE(MID(C130,3,2)),VALUE(MID(C130,1,2))),"")),"")</f>
        <v/>
      </c>
    </row>
    <row r="131">
      <c r="A131" s="2" t="n"/>
      <c r="B131" s="2" t="n"/>
      <c r="C131" s="3" t="n"/>
      <c r="D131" s="2" t="n"/>
      <c r="E131" s="4">
        <f>IF(A131="","",5)</f>
        <v/>
      </c>
      <c r="F131" s="2" t="n"/>
      <c r="G131" s="4" t="n"/>
      <c r="H131" s="2" t="n"/>
      <c r="I131" s="2" t="n"/>
      <c r="J131" s="2">
        <f>IF(C131="","",IF(LEN(C131)&lt;&gt;13,"Nema 13 cifara (ima "&amp;LEN(C131)&amp;")",IF(L131="","JMBG sadrži nešto što nije cifra",IF(N131="","Nepostojeći datum rođenja",IF(VALUE(MID(C131,13,1))&lt;&gt;L131,"Pogrešna kontrolna cifra - treba "&amp;L131,"✓ ispravan")))))</f>
        <v/>
      </c>
      <c r="K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L131">
        <f>IF(K131="","",IF(11-MOD(K131,11)&gt;9,0,11-MOD(K131,11)))</f>
        <v/>
      </c>
      <c r="M131">
        <f>IFERROR(IF(LEN(C131)&lt;&gt;13,"",IF(VALUE(MID(C131,5,3))&gt;=800,1000,2000)+VALUE(MID(C131,5,3))),"")</f>
        <v/>
      </c>
      <c r="N131">
        <f>IFERROR(IF(M131="","",IF(AND(DAY(DATE(M131,VALUE(MID(C131,3,2)),VALUE(MID(C131,1,2))))=VALUE(MID(C131,1,2)),MONTH(DATE(M131,VALUE(MID(C131,3,2)),VALUE(MID(C131,1,2))))=VALUE(MID(C131,3,2))),DATE(M131,VALUE(MID(C131,3,2)),VALUE(MID(C131,1,2))),"")),"")</f>
        <v/>
      </c>
    </row>
    <row r="132">
      <c r="A132" s="2" t="n"/>
      <c r="B132" s="2" t="n"/>
      <c r="C132" s="3" t="n"/>
      <c r="D132" s="2" t="n"/>
      <c r="E132" s="4">
        <f>IF(A132="","",5)</f>
        <v/>
      </c>
      <c r="F132" s="2" t="n"/>
      <c r="G132" s="4" t="n"/>
      <c r="H132" s="2" t="n"/>
      <c r="I132" s="2" t="n"/>
      <c r="J132" s="2">
        <f>IF(C132="","",IF(LEN(C132)&lt;&gt;13,"Nema 13 cifara (ima "&amp;LEN(C132)&amp;")",IF(L132="","JMBG sadrži nešto što nije cifra",IF(N132="","Nepostojeći datum rođenja",IF(VALUE(MID(C132,13,1))&lt;&gt;L132,"Pogrešna kontrolna cifra - treba "&amp;L132,"✓ ispravan")))))</f>
        <v/>
      </c>
      <c r="K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L132">
        <f>IF(K132="","",IF(11-MOD(K132,11)&gt;9,0,11-MOD(K132,11)))</f>
        <v/>
      </c>
      <c r="M132">
        <f>IFERROR(IF(LEN(C132)&lt;&gt;13,"",IF(VALUE(MID(C132,5,3))&gt;=800,1000,2000)+VALUE(MID(C132,5,3))),"")</f>
        <v/>
      </c>
      <c r="N132">
        <f>IFERROR(IF(M132="","",IF(AND(DAY(DATE(M132,VALUE(MID(C132,3,2)),VALUE(MID(C132,1,2))))=VALUE(MID(C132,1,2)),MONTH(DATE(M132,VALUE(MID(C132,3,2)),VALUE(MID(C132,1,2))))=VALUE(MID(C132,3,2))),DATE(M132,VALUE(MID(C132,3,2)),VALUE(MID(C132,1,2))),"")),"")</f>
        <v/>
      </c>
    </row>
    <row r="133">
      <c r="A133" s="2" t="n"/>
      <c r="B133" s="2" t="n"/>
      <c r="C133" s="3" t="n"/>
      <c r="D133" s="2" t="n"/>
      <c r="E133" s="4">
        <f>IF(A133="","",5)</f>
        <v/>
      </c>
      <c r="F133" s="2" t="n"/>
      <c r="G133" s="4" t="n"/>
      <c r="H133" s="2" t="n"/>
      <c r="I133" s="2" t="n"/>
      <c r="J133" s="2">
        <f>IF(C133="","",IF(LEN(C133)&lt;&gt;13,"Nema 13 cifara (ima "&amp;LEN(C133)&amp;")",IF(L133="","JMBG sadrži nešto što nije cifra",IF(N133="","Nepostojeći datum rođenja",IF(VALUE(MID(C133,13,1))&lt;&gt;L133,"Pogrešna kontrolna cifra - treba "&amp;L133,"✓ ispravan")))))</f>
        <v/>
      </c>
      <c r="K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L133">
        <f>IF(K133="","",IF(11-MOD(K133,11)&gt;9,0,11-MOD(K133,11)))</f>
        <v/>
      </c>
      <c r="M133">
        <f>IFERROR(IF(LEN(C133)&lt;&gt;13,"",IF(VALUE(MID(C133,5,3))&gt;=800,1000,2000)+VALUE(MID(C133,5,3))),"")</f>
        <v/>
      </c>
      <c r="N133">
        <f>IFERROR(IF(M133="","",IF(AND(DAY(DATE(M133,VALUE(MID(C133,3,2)),VALUE(MID(C133,1,2))))=VALUE(MID(C133,1,2)),MONTH(DATE(M133,VALUE(MID(C133,3,2)),VALUE(MID(C133,1,2))))=VALUE(MID(C133,3,2))),DATE(M133,VALUE(MID(C133,3,2)),VALUE(MID(C133,1,2))),"")),"")</f>
        <v/>
      </c>
    </row>
    <row r="134">
      <c r="A134" s="2" t="n"/>
      <c r="B134" s="2" t="n"/>
      <c r="C134" s="3" t="n"/>
      <c r="D134" s="2" t="n"/>
      <c r="E134" s="4">
        <f>IF(A134="","",5)</f>
        <v/>
      </c>
      <c r="F134" s="2" t="n"/>
      <c r="G134" s="4" t="n"/>
      <c r="H134" s="2" t="n"/>
      <c r="I134" s="2" t="n"/>
      <c r="J134" s="2">
        <f>IF(C134="","",IF(LEN(C134)&lt;&gt;13,"Nema 13 cifara (ima "&amp;LEN(C134)&amp;")",IF(L134="","JMBG sadrži nešto što nije cifra",IF(N134="","Nepostojeći datum rođenja",IF(VALUE(MID(C134,13,1))&lt;&gt;L134,"Pogrešna kontrolna cifra - treba "&amp;L134,"✓ ispravan")))))</f>
        <v/>
      </c>
      <c r="K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L134">
        <f>IF(K134="","",IF(11-MOD(K134,11)&gt;9,0,11-MOD(K134,11)))</f>
        <v/>
      </c>
      <c r="M134">
        <f>IFERROR(IF(LEN(C134)&lt;&gt;13,"",IF(VALUE(MID(C134,5,3))&gt;=800,1000,2000)+VALUE(MID(C134,5,3))),"")</f>
        <v/>
      </c>
      <c r="N134">
        <f>IFERROR(IF(M134="","",IF(AND(DAY(DATE(M134,VALUE(MID(C134,3,2)),VALUE(MID(C134,1,2))))=VALUE(MID(C134,1,2)),MONTH(DATE(M134,VALUE(MID(C134,3,2)),VALUE(MID(C134,1,2))))=VALUE(MID(C134,3,2))),DATE(M134,VALUE(MID(C134,3,2)),VALUE(MID(C134,1,2))),"")),"")</f>
        <v/>
      </c>
    </row>
    <row r="135">
      <c r="A135" s="2" t="n"/>
      <c r="B135" s="2" t="n"/>
      <c r="C135" s="3" t="n"/>
      <c r="D135" s="2" t="n"/>
      <c r="E135" s="4">
        <f>IF(A135="","",5)</f>
        <v/>
      </c>
      <c r="F135" s="2" t="n"/>
      <c r="G135" s="4" t="n"/>
      <c r="H135" s="2" t="n"/>
      <c r="I135" s="2" t="n"/>
      <c r="J135" s="2">
        <f>IF(C135="","",IF(LEN(C135)&lt;&gt;13,"Nema 13 cifara (ima "&amp;LEN(C135)&amp;")",IF(L135="","JMBG sadrži nešto što nije cifra",IF(N135="","Nepostojeći datum rođenja",IF(VALUE(MID(C135,13,1))&lt;&gt;L135,"Pogrešna kontrolna cifra - treba "&amp;L135,"✓ ispravan")))))</f>
        <v/>
      </c>
      <c r="K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L135">
        <f>IF(K135="","",IF(11-MOD(K135,11)&gt;9,0,11-MOD(K135,11)))</f>
        <v/>
      </c>
      <c r="M135">
        <f>IFERROR(IF(LEN(C135)&lt;&gt;13,"",IF(VALUE(MID(C135,5,3))&gt;=800,1000,2000)+VALUE(MID(C135,5,3))),"")</f>
        <v/>
      </c>
      <c r="N135">
        <f>IFERROR(IF(M135="","",IF(AND(DAY(DATE(M135,VALUE(MID(C135,3,2)),VALUE(MID(C135,1,2))))=VALUE(MID(C135,1,2)),MONTH(DATE(M135,VALUE(MID(C135,3,2)),VALUE(MID(C135,1,2))))=VALUE(MID(C135,3,2))),DATE(M135,VALUE(MID(C135,3,2)),VALUE(MID(C135,1,2))),"")),"")</f>
        <v/>
      </c>
    </row>
    <row r="136">
      <c r="A136" s="2" t="n"/>
      <c r="B136" s="2" t="n"/>
      <c r="C136" s="3" t="n"/>
      <c r="D136" s="2" t="n"/>
      <c r="E136" s="4">
        <f>IF(A136="","",5)</f>
        <v/>
      </c>
      <c r="F136" s="2" t="n"/>
      <c r="G136" s="4" t="n"/>
      <c r="H136" s="2" t="n"/>
      <c r="I136" s="2" t="n"/>
      <c r="J136" s="2">
        <f>IF(C136="","",IF(LEN(C136)&lt;&gt;13,"Nema 13 cifara (ima "&amp;LEN(C136)&amp;")",IF(L136="","JMBG sadrži nešto što nije cifra",IF(N136="","Nepostojeći datum rođenja",IF(VALUE(MID(C136,13,1))&lt;&gt;L136,"Pogrešna kontrolna cifra - treba "&amp;L136,"✓ ispravan")))))</f>
        <v/>
      </c>
      <c r="K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L136">
        <f>IF(K136="","",IF(11-MOD(K136,11)&gt;9,0,11-MOD(K136,11)))</f>
        <v/>
      </c>
      <c r="M136">
        <f>IFERROR(IF(LEN(C136)&lt;&gt;13,"",IF(VALUE(MID(C136,5,3))&gt;=800,1000,2000)+VALUE(MID(C136,5,3))),"")</f>
        <v/>
      </c>
      <c r="N136">
        <f>IFERROR(IF(M136="","",IF(AND(DAY(DATE(M136,VALUE(MID(C136,3,2)),VALUE(MID(C136,1,2))))=VALUE(MID(C136,1,2)),MONTH(DATE(M136,VALUE(MID(C136,3,2)),VALUE(MID(C136,1,2))))=VALUE(MID(C136,3,2))),DATE(M136,VALUE(MID(C136,3,2)),VALUE(MID(C136,1,2))),"")),"")</f>
        <v/>
      </c>
    </row>
    <row r="137">
      <c r="A137" s="2" t="n"/>
      <c r="B137" s="2" t="n"/>
      <c r="C137" s="3" t="n"/>
      <c r="D137" s="2" t="n"/>
      <c r="E137" s="4">
        <f>IF(A137="","",5)</f>
        <v/>
      </c>
      <c r="F137" s="2" t="n"/>
      <c r="G137" s="4" t="n"/>
      <c r="H137" s="2" t="n"/>
      <c r="I137" s="2" t="n"/>
      <c r="J137" s="2">
        <f>IF(C137="","",IF(LEN(C137)&lt;&gt;13,"Nema 13 cifara (ima "&amp;LEN(C137)&amp;")",IF(L137="","JMBG sadrži nešto što nije cifra",IF(N137="","Nepostojeći datum rođenja",IF(VALUE(MID(C137,13,1))&lt;&gt;L137,"Pogrešna kontrolna cifra - treba "&amp;L137,"✓ ispravan")))))</f>
        <v/>
      </c>
      <c r="K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L137">
        <f>IF(K137="","",IF(11-MOD(K137,11)&gt;9,0,11-MOD(K137,11)))</f>
        <v/>
      </c>
      <c r="M137">
        <f>IFERROR(IF(LEN(C137)&lt;&gt;13,"",IF(VALUE(MID(C137,5,3))&gt;=800,1000,2000)+VALUE(MID(C137,5,3))),"")</f>
        <v/>
      </c>
      <c r="N137">
        <f>IFERROR(IF(M137="","",IF(AND(DAY(DATE(M137,VALUE(MID(C137,3,2)),VALUE(MID(C137,1,2))))=VALUE(MID(C137,1,2)),MONTH(DATE(M137,VALUE(MID(C137,3,2)),VALUE(MID(C137,1,2))))=VALUE(MID(C137,3,2))),DATE(M137,VALUE(MID(C137,3,2)),VALUE(MID(C137,1,2))),"")),"")</f>
        <v/>
      </c>
    </row>
    <row r="138">
      <c r="A138" s="2" t="n"/>
      <c r="B138" s="2" t="n"/>
      <c r="C138" s="3" t="n"/>
      <c r="D138" s="2" t="n"/>
      <c r="E138" s="4">
        <f>IF(A138="","",5)</f>
        <v/>
      </c>
      <c r="F138" s="2" t="n"/>
      <c r="G138" s="4" t="n"/>
      <c r="H138" s="2" t="n"/>
      <c r="I138" s="2" t="n"/>
      <c r="J138" s="2">
        <f>IF(C138="","",IF(LEN(C138)&lt;&gt;13,"Nema 13 cifara (ima "&amp;LEN(C138)&amp;")",IF(L138="","JMBG sadrži nešto što nije cifra",IF(N138="","Nepostojeći datum rođenja",IF(VALUE(MID(C138,13,1))&lt;&gt;L138,"Pogrešna kontrolna cifra - treba "&amp;L138,"✓ ispravan")))))</f>
        <v/>
      </c>
      <c r="K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L138">
        <f>IF(K138="","",IF(11-MOD(K138,11)&gt;9,0,11-MOD(K138,11)))</f>
        <v/>
      </c>
      <c r="M138">
        <f>IFERROR(IF(LEN(C138)&lt;&gt;13,"",IF(VALUE(MID(C138,5,3))&gt;=800,1000,2000)+VALUE(MID(C138,5,3))),"")</f>
        <v/>
      </c>
      <c r="N138">
        <f>IFERROR(IF(M138="","",IF(AND(DAY(DATE(M138,VALUE(MID(C138,3,2)),VALUE(MID(C138,1,2))))=VALUE(MID(C138,1,2)),MONTH(DATE(M138,VALUE(MID(C138,3,2)),VALUE(MID(C138,1,2))))=VALUE(MID(C138,3,2))),DATE(M138,VALUE(MID(C138,3,2)),VALUE(MID(C138,1,2))),"")),"")</f>
        <v/>
      </c>
    </row>
    <row r="139">
      <c r="A139" s="2" t="n"/>
      <c r="B139" s="2" t="n"/>
      <c r="C139" s="3" t="n"/>
      <c r="D139" s="2" t="n"/>
      <c r="E139" s="4">
        <f>IF(A139="","",5)</f>
        <v/>
      </c>
      <c r="F139" s="2" t="n"/>
      <c r="G139" s="4" t="n"/>
      <c r="H139" s="2" t="n"/>
      <c r="I139" s="2" t="n"/>
      <c r="J139" s="2">
        <f>IF(C139="","",IF(LEN(C139)&lt;&gt;13,"Nema 13 cifara (ima "&amp;LEN(C139)&amp;")",IF(L139="","JMBG sadrži nešto što nije cifra",IF(N139="","Nepostojeći datum rođenja",IF(VALUE(MID(C139,13,1))&lt;&gt;L139,"Pogrešna kontrolna cifra - treba "&amp;L139,"✓ ispravan")))))</f>
        <v/>
      </c>
      <c r="K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L139">
        <f>IF(K139="","",IF(11-MOD(K139,11)&gt;9,0,11-MOD(K139,11)))</f>
        <v/>
      </c>
      <c r="M139">
        <f>IFERROR(IF(LEN(C139)&lt;&gt;13,"",IF(VALUE(MID(C139,5,3))&gt;=800,1000,2000)+VALUE(MID(C139,5,3))),"")</f>
        <v/>
      </c>
      <c r="N139">
        <f>IFERROR(IF(M139="","",IF(AND(DAY(DATE(M139,VALUE(MID(C139,3,2)),VALUE(MID(C139,1,2))))=VALUE(MID(C139,1,2)),MONTH(DATE(M139,VALUE(MID(C139,3,2)),VALUE(MID(C139,1,2))))=VALUE(MID(C139,3,2))),DATE(M139,VALUE(MID(C139,3,2)),VALUE(MID(C139,1,2))),"")),"")</f>
        <v/>
      </c>
    </row>
    <row r="140">
      <c r="A140" s="2" t="n"/>
      <c r="B140" s="2" t="n"/>
      <c r="C140" s="3" t="n"/>
      <c r="D140" s="2" t="n"/>
      <c r="E140" s="4">
        <f>IF(A140="","",5)</f>
        <v/>
      </c>
      <c r="F140" s="2" t="n"/>
      <c r="G140" s="4" t="n"/>
      <c r="H140" s="2" t="n"/>
      <c r="I140" s="2" t="n"/>
      <c r="J140" s="2">
        <f>IF(C140="","",IF(LEN(C140)&lt;&gt;13,"Nema 13 cifara (ima "&amp;LEN(C140)&amp;")",IF(L140="","JMBG sadrži nešto što nije cifra",IF(N140="","Nepostojeći datum rođenja",IF(VALUE(MID(C140,13,1))&lt;&gt;L140,"Pogrešna kontrolna cifra - treba "&amp;L140,"✓ ispravan")))))</f>
        <v/>
      </c>
      <c r="K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L140">
        <f>IF(K140="","",IF(11-MOD(K140,11)&gt;9,0,11-MOD(K140,11)))</f>
        <v/>
      </c>
      <c r="M140">
        <f>IFERROR(IF(LEN(C140)&lt;&gt;13,"",IF(VALUE(MID(C140,5,3))&gt;=800,1000,2000)+VALUE(MID(C140,5,3))),"")</f>
        <v/>
      </c>
      <c r="N140">
        <f>IFERROR(IF(M140="","",IF(AND(DAY(DATE(M140,VALUE(MID(C140,3,2)),VALUE(MID(C140,1,2))))=VALUE(MID(C140,1,2)),MONTH(DATE(M140,VALUE(MID(C140,3,2)),VALUE(MID(C140,1,2))))=VALUE(MID(C140,3,2))),DATE(M140,VALUE(MID(C140,3,2)),VALUE(MID(C140,1,2))),"")),"")</f>
        <v/>
      </c>
    </row>
    <row r="141">
      <c r="A141" s="2" t="n"/>
      <c r="B141" s="2" t="n"/>
      <c r="C141" s="3" t="n"/>
      <c r="D141" s="2" t="n"/>
      <c r="E141" s="4">
        <f>IF(A141="","",5)</f>
        <v/>
      </c>
      <c r="F141" s="2" t="n"/>
      <c r="G141" s="4" t="n"/>
      <c r="H141" s="2" t="n"/>
      <c r="I141" s="2" t="n"/>
      <c r="J141" s="2">
        <f>IF(C141="","",IF(LEN(C141)&lt;&gt;13,"Nema 13 cifara (ima "&amp;LEN(C141)&amp;")",IF(L141="","JMBG sadrži nešto što nije cifra",IF(N141="","Nepostojeći datum rođenja",IF(VALUE(MID(C141,13,1))&lt;&gt;L141,"Pogrešna kontrolna cifra - treba "&amp;L141,"✓ ispravan")))))</f>
        <v/>
      </c>
      <c r="K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L141">
        <f>IF(K141="","",IF(11-MOD(K141,11)&gt;9,0,11-MOD(K141,11)))</f>
        <v/>
      </c>
      <c r="M141">
        <f>IFERROR(IF(LEN(C141)&lt;&gt;13,"",IF(VALUE(MID(C141,5,3))&gt;=800,1000,2000)+VALUE(MID(C141,5,3))),"")</f>
        <v/>
      </c>
      <c r="N141">
        <f>IFERROR(IF(M141="","",IF(AND(DAY(DATE(M141,VALUE(MID(C141,3,2)),VALUE(MID(C141,1,2))))=VALUE(MID(C141,1,2)),MONTH(DATE(M141,VALUE(MID(C141,3,2)),VALUE(MID(C141,1,2))))=VALUE(MID(C141,3,2))),DATE(M141,VALUE(MID(C141,3,2)),VALUE(MID(C141,1,2))),"")),"")</f>
        <v/>
      </c>
    </row>
    <row r="142">
      <c r="A142" s="2" t="n"/>
      <c r="B142" s="2" t="n"/>
      <c r="C142" s="3" t="n"/>
      <c r="D142" s="2" t="n"/>
      <c r="E142" s="4">
        <f>IF(A142="","",5)</f>
        <v/>
      </c>
      <c r="F142" s="2" t="n"/>
      <c r="G142" s="4" t="n"/>
      <c r="H142" s="2" t="n"/>
      <c r="I142" s="2" t="n"/>
      <c r="J142" s="2">
        <f>IF(C142="","",IF(LEN(C142)&lt;&gt;13,"Nema 13 cifara (ima "&amp;LEN(C142)&amp;")",IF(L142="","JMBG sadrži nešto što nije cifra",IF(N142="","Nepostojeći datum rođenja",IF(VALUE(MID(C142,13,1))&lt;&gt;L142,"Pogrešna kontrolna cifra - treba "&amp;L142,"✓ ispravan")))))</f>
        <v/>
      </c>
      <c r="K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L142">
        <f>IF(K142="","",IF(11-MOD(K142,11)&gt;9,0,11-MOD(K142,11)))</f>
        <v/>
      </c>
      <c r="M142">
        <f>IFERROR(IF(LEN(C142)&lt;&gt;13,"",IF(VALUE(MID(C142,5,3))&gt;=800,1000,2000)+VALUE(MID(C142,5,3))),"")</f>
        <v/>
      </c>
      <c r="N142">
        <f>IFERROR(IF(M142="","",IF(AND(DAY(DATE(M142,VALUE(MID(C142,3,2)),VALUE(MID(C142,1,2))))=VALUE(MID(C142,1,2)),MONTH(DATE(M142,VALUE(MID(C142,3,2)),VALUE(MID(C142,1,2))))=VALUE(MID(C142,3,2))),DATE(M142,VALUE(MID(C142,3,2)),VALUE(MID(C142,1,2))),"")),"")</f>
        <v/>
      </c>
    </row>
    <row r="143">
      <c r="A143" s="2" t="n"/>
      <c r="B143" s="2" t="n"/>
      <c r="C143" s="3" t="n"/>
      <c r="D143" s="2" t="n"/>
      <c r="E143" s="4">
        <f>IF(A143="","",5)</f>
        <v/>
      </c>
      <c r="F143" s="2" t="n"/>
      <c r="G143" s="4" t="n"/>
      <c r="H143" s="2" t="n"/>
      <c r="I143" s="2" t="n"/>
      <c r="J143" s="2">
        <f>IF(C143="","",IF(LEN(C143)&lt;&gt;13,"Nema 13 cifara (ima "&amp;LEN(C143)&amp;")",IF(L143="","JMBG sadrži nešto što nije cifra",IF(N143="","Nepostojeći datum rođenja",IF(VALUE(MID(C143,13,1))&lt;&gt;L143,"Pogrešna kontrolna cifra - treba "&amp;L143,"✓ ispravan")))))</f>
        <v/>
      </c>
      <c r="K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L143">
        <f>IF(K143="","",IF(11-MOD(K143,11)&gt;9,0,11-MOD(K143,11)))</f>
        <v/>
      </c>
      <c r="M143">
        <f>IFERROR(IF(LEN(C143)&lt;&gt;13,"",IF(VALUE(MID(C143,5,3))&gt;=800,1000,2000)+VALUE(MID(C143,5,3))),"")</f>
        <v/>
      </c>
      <c r="N143">
        <f>IFERROR(IF(M143="","",IF(AND(DAY(DATE(M143,VALUE(MID(C143,3,2)),VALUE(MID(C143,1,2))))=VALUE(MID(C143,1,2)),MONTH(DATE(M143,VALUE(MID(C143,3,2)),VALUE(MID(C143,1,2))))=VALUE(MID(C143,3,2))),DATE(M143,VALUE(MID(C143,3,2)),VALUE(MID(C143,1,2))),"")),"")</f>
        <v/>
      </c>
    </row>
    <row r="144">
      <c r="A144" s="2" t="n"/>
      <c r="B144" s="2" t="n"/>
      <c r="C144" s="3" t="n"/>
      <c r="D144" s="2" t="n"/>
      <c r="E144" s="4">
        <f>IF(A144="","",5)</f>
        <v/>
      </c>
      <c r="F144" s="2" t="n"/>
      <c r="G144" s="4" t="n"/>
      <c r="H144" s="2" t="n"/>
      <c r="I144" s="2" t="n"/>
      <c r="J144" s="2">
        <f>IF(C144="","",IF(LEN(C144)&lt;&gt;13,"Nema 13 cifara (ima "&amp;LEN(C144)&amp;")",IF(L144="","JMBG sadrži nešto što nije cifra",IF(N144="","Nepostojeći datum rođenja",IF(VALUE(MID(C144,13,1))&lt;&gt;L144,"Pogrešna kontrolna cifra - treba "&amp;L144,"✓ ispravan")))))</f>
        <v/>
      </c>
      <c r="K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L144">
        <f>IF(K144="","",IF(11-MOD(K144,11)&gt;9,0,11-MOD(K144,11)))</f>
        <v/>
      </c>
      <c r="M144">
        <f>IFERROR(IF(LEN(C144)&lt;&gt;13,"",IF(VALUE(MID(C144,5,3))&gt;=800,1000,2000)+VALUE(MID(C144,5,3))),"")</f>
        <v/>
      </c>
      <c r="N144">
        <f>IFERROR(IF(M144="","",IF(AND(DAY(DATE(M144,VALUE(MID(C144,3,2)),VALUE(MID(C144,1,2))))=VALUE(MID(C144,1,2)),MONTH(DATE(M144,VALUE(MID(C144,3,2)),VALUE(MID(C144,1,2))))=VALUE(MID(C144,3,2))),DATE(M144,VALUE(MID(C144,3,2)),VALUE(MID(C144,1,2))),"")),"")</f>
        <v/>
      </c>
    </row>
    <row r="145">
      <c r="A145" s="2" t="n"/>
      <c r="B145" s="2" t="n"/>
      <c r="C145" s="3" t="n"/>
      <c r="D145" s="2" t="n"/>
      <c r="E145" s="4">
        <f>IF(A145="","",5)</f>
        <v/>
      </c>
      <c r="F145" s="2" t="n"/>
      <c r="G145" s="4" t="n"/>
      <c r="H145" s="2" t="n"/>
      <c r="I145" s="2" t="n"/>
      <c r="J145" s="2">
        <f>IF(C145="","",IF(LEN(C145)&lt;&gt;13,"Nema 13 cifara (ima "&amp;LEN(C145)&amp;")",IF(L145="","JMBG sadrži nešto što nije cifra",IF(N145="","Nepostojeći datum rođenja",IF(VALUE(MID(C145,13,1))&lt;&gt;L145,"Pogrešna kontrolna cifra - treba "&amp;L145,"✓ ispravan")))))</f>
        <v/>
      </c>
      <c r="K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L145">
        <f>IF(K145="","",IF(11-MOD(K145,11)&gt;9,0,11-MOD(K145,11)))</f>
        <v/>
      </c>
      <c r="M145">
        <f>IFERROR(IF(LEN(C145)&lt;&gt;13,"",IF(VALUE(MID(C145,5,3))&gt;=800,1000,2000)+VALUE(MID(C145,5,3))),"")</f>
        <v/>
      </c>
      <c r="N145">
        <f>IFERROR(IF(M145="","",IF(AND(DAY(DATE(M145,VALUE(MID(C145,3,2)),VALUE(MID(C145,1,2))))=VALUE(MID(C145,1,2)),MONTH(DATE(M145,VALUE(MID(C145,3,2)),VALUE(MID(C145,1,2))))=VALUE(MID(C145,3,2))),DATE(M145,VALUE(MID(C145,3,2)),VALUE(MID(C145,1,2))),"")),"")</f>
        <v/>
      </c>
    </row>
    <row r="146">
      <c r="A146" s="2" t="n"/>
      <c r="B146" s="2" t="n"/>
      <c r="C146" s="3" t="n"/>
      <c r="D146" s="2" t="n"/>
      <c r="E146" s="4">
        <f>IF(A146="","",5)</f>
        <v/>
      </c>
      <c r="F146" s="2" t="n"/>
      <c r="G146" s="4" t="n"/>
      <c r="H146" s="2" t="n"/>
      <c r="I146" s="2" t="n"/>
      <c r="J146" s="2">
        <f>IF(C146="","",IF(LEN(C146)&lt;&gt;13,"Nema 13 cifara (ima "&amp;LEN(C146)&amp;")",IF(L146="","JMBG sadrži nešto što nije cifra",IF(N146="","Nepostojeći datum rođenja",IF(VALUE(MID(C146,13,1))&lt;&gt;L146,"Pogrešna kontrolna cifra - treba "&amp;L146,"✓ ispravan")))))</f>
        <v/>
      </c>
      <c r="K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L146">
        <f>IF(K146="","",IF(11-MOD(K146,11)&gt;9,0,11-MOD(K146,11)))</f>
        <v/>
      </c>
      <c r="M146">
        <f>IFERROR(IF(LEN(C146)&lt;&gt;13,"",IF(VALUE(MID(C146,5,3))&gt;=800,1000,2000)+VALUE(MID(C146,5,3))),"")</f>
        <v/>
      </c>
      <c r="N146">
        <f>IFERROR(IF(M146="","",IF(AND(DAY(DATE(M146,VALUE(MID(C146,3,2)),VALUE(MID(C146,1,2))))=VALUE(MID(C146,1,2)),MONTH(DATE(M146,VALUE(MID(C146,3,2)),VALUE(MID(C146,1,2))))=VALUE(MID(C146,3,2))),DATE(M146,VALUE(MID(C146,3,2)),VALUE(MID(C146,1,2))),"")),"")</f>
        <v/>
      </c>
    </row>
    <row r="147">
      <c r="A147" s="2" t="n"/>
      <c r="B147" s="2" t="n"/>
      <c r="C147" s="3" t="n"/>
      <c r="D147" s="2" t="n"/>
      <c r="E147" s="4">
        <f>IF(A147="","",5)</f>
        <v/>
      </c>
      <c r="F147" s="2" t="n"/>
      <c r="G147" s="4" t="n"/>
      <c r="H147" s="2" t="n"/>
      <c r="I147" s="2" t="n"/>
      <c r="J147" s="2">
        <f>IF(C147="","",IF(LEN(C147)&lt;&gt;13,"Nema 13 cifara (ima "&amp;LEN(C147)&amp;")",IF(L147="","JMBG sadrži nešto što nije cifra",IF(N147="","Nepostojeći datum rođenja",IF(VALUE(MID(C147,13,1))&lt;&gt;L147,"Pogrešna kontrolna cifra - treba "&amp;L147,"✓ ispravan")))))</f>
        <v/>
      </c>
      <c r="K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L147">
        <f>IF(K147="","",IF(11-MOD(K147,11)&gt;9,0,11-MOD(K147,11)))</f>
        <v/>
      </c>
      <c r="M147">
        <f>IFERROR(IF(LEN(C147)&lt;&gt;13,"",IF(VALUE(MID(C147,5,3))&gt;=800,1000,2000)+VALUE(MID(C147,5,3))),"")</f>
        <v/>
      </c>
      <c r="N147">
        <f>IFERROR(IF(M147="","",IF(AND(DAY(DATE(M147,VALUE(MID(C147,3,2)),VALUE(MID(C147,1,2))))=VALUE(MID(C147,1,2)),MONTH(DATE(M147,VALUE(MID(C147,3,2)),VALUE(MID(C147,1,2))))=VALUE(MID(C147,3,2))),DATE(M147,VALUE(MID(C147,3,2)),VALUE(MID(C147,1,2))),"")),"")</f>
        <v/>
      </c>
    </row>
    <row r="148">
      <c r="A148" s="2" t="n"/>
      <c r="B148" s="2" t="n"/>
      <c r="C148" s="3" t="n"/>
      <c r="D148" s="2" t="n"/>
      <c r="E148" s="4">
        <f>IF(A148="","",5)</f>
        <v/>
      </c>
      <c r="F148" s="2" t="n"/>
      <c r="G148" s="4" t="n"/>
      <c r="H148" s="2" t="n"/>
      <c r="I148" s="2" t="n"/>
      <c r="J148" s="2">
        <f>IF(C148="","",IF(LEN(C148)&lt;&gt;13,"Nema 13 cifara (ima "&amp;LEN(C148)&amp;")",IF(L148="","JMBG sadrži nešto što nije cifra",IF(N148="","Nepostojeći datum rođenja",IF(VALUE(MID(C148,13,1))&lt;&gt;L148,"Pogrešna kontrolna cifra - treba "&amp;L148,"✓ ispravan")))))</f>
        <v/>
      </c>
      <c r="K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L148">
        <f>IF(K148="","",IF(11-MOD(K148,11)&gt;9,0,11-MOD(K148,11)))</f>
        <v/>
      </c>
      <c r="M148">
        <f>IFERROR(IF(LEN(C148)&lt;&gt;13,"",IF(VALUE(MID(C148,5,3))&gt;=800,1000,2000)+VALUE(MID(C148,5,3))),"")</f>
        <v/>
      </c>
      <c r="N148">
        <f>IFERROR(IF(M148="","",IF(AND(DAY(DATE(M148,VALUE(MID(C148,3,2)),VALUE(MID(C148,1,2))))=VALUE(MID(C148,1,2)),MONTH(DATE(M148,VALUE(MID(C148,3,2)),VALUE(MID(C148,1,2))))=VALUE(MID(C148,3,2))),DATE(M148,VALUE(MID(C148,3,2)),VALUE(MID(C148,1,2))),"")),"")</f>
        <v/>
      </c>
    </row>
    <row r="149">
      <c r="A149" s="2" t="n"/>
      <c r="B149" s="2" t="n"/>
      <c r="C149" s="3" t="n"/>
      <c r="D149" s="2" t="n"/>
      <c r="E149" s="4">
        <f>IF(A149="","",5)</f>
        <v/>
      </c>
      <c r="F149" s="2" t="n"/>
      <c r="G149" s="4" t="n"/>
      <c r="H149" s="2" t="n"/>
      <c r="I149" s="2" t="n"/>
      <c r="J149" s="2">
        <f>IF(C149="","",IF(LEN(C149)&lt;&gt;13,"Nema 13 cifara (ima "&amp;LEN(C149)&amp;")",IF(L149="","JMBG sadrži nešto što nije cifra",IF(N149="","Nepostojeći datum rođenja",IF(VALUE(MID(C149,13,1))&lt;&gt;L149,"Pogrešna kontrolna cifra - treba "&amp;L149,"✓ ispravan")))))</f>
        <v/>
      </c>
      <c r="K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L149">
        <f>IF(K149="","",IF(11-MOD(K149,11)&gt;9,0,11-MOD(K149,11)))</f>
        <v/>
      </c>
      <c r="M149">
        <f>IFERROR(IF(LEN(C149)&lt;&gt;13,"",IF(VALUE(MID(C149,5,3))&gt;=800,1000,2000)+VALUE(MID(C149,5,3))),"")</f>
        <v/>
      </c>
      <c r="N149">
        <f>IFERROR(IF(M149="","",IF(AND(DAY(DATE(M149,VALUE(MID(C149,3,2)),VALUE(MID(C149,1,2))))=VALUE(MID(C149,1,2)),MONTH(DATE(M149,VALUE(MID(C149,3,2)),VALUE(MID(C149,1,2))))=VALUE(MID(C149,3,2))),DATE(M149,VALUE(MID(C149,3,2)),VALUE(MID(C149,1,2))),"")),"")</f>
        <v/>
      </c>
    </row>
    <row r="150">
      <c r="A150" s="2" t="n"/>
      <c r="B150" s="2" t="n"/>
      <c r="C150" s="3" t="n"/>
      <c r="D150" s="2" t="n"/>
      <c r="E150" s="4">
        <f>IF(A150="","",5)</f>
        <v/>
      </c>
      <c r="F150" s="2" t="n"/>
      <c r="G150" s="4" t="n"/>
      <c r="H150" s="2" t="n"/>
      <c r="I150" s="2" t="n"/>
      <c r="J150" s="2">
        <f>IF(C150="","",IF(LEN(C150)&lt;&gt;13,"Nema 13 cifara (ima "&amp;LEN(C150)&amp;")",IF(L150="","JMBG sadrži nešto što nije cifra",IF(N150="","Nepostojeći datum rođenja",IF(VALUE(MID(C150,13,1))&lt;&gt;L150,"Pogrešna kontrolna cifra - treba "&amp;L150,"✓ ispravan")))))</f>
        <v/>
      </c>
      <c r="K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L150">
        <f>IF(K150="","",IF(11-MOD(K150,11)&gt;9,0,11-MOD(K150,11)))</f>
        <v/>
      </c>
      <c r="M150">
        <f>IFERROR(IF(LEN(C150)&lt;&gt;13,"",IF(VALUE(MID(C150,5,3))&gt;=800,1000,2000)+VALUE(MID(C150,5,3))),"")</f>
        <v/>
      </c>
      <c r="N150">
        <f>IFERROR(IF(M150="","",IF(AND(DAY(DATE(M150,VALUE(MID(C150,3,2)),VALUE(MID(C150,1,2))))=VALUE(MID(C150,1,2)),MONTH(DATE(M150,VALUE(MID(C150,3,2)),VALUE(MID(C150,1,2))))=VALUE(MID(C150,3,2))),DATE(M150,VALUE(MID(C150,3,2)),VALUE(MID(C150,1,2))),"")),"")</f>
        <v/>
      </c>
    </row>
    <row r="151">
      <c r="A151" s="2" t="n"/>
      <c r="B151" s="2" t="n"/>
      <c r="C151" s="3" t="n"/>
      <c r="D151" s="2" t="n"/>
      <c r="E151" s="4">
        <f>IF(A151="","",5)</f>
        <v/>
      </c>
      <c r="F151" s="2" t="n"/>
      <c r="G151" s="4" t="n"/>
      <c r="H151" s="2" t="n"/>
      <c r="I151" s="2" t="n"/>
      <c r="J151" s="2">
        <f>IF(C151="","",IF(LEN(C151)&lt;&gt;13,"Nema 13 cifara (ima "&amp;LEN(C151)&amp;")",IF(L151="","JMBG sadrži nešto što nije cifra",IF(N151="","Nepostojeći datum rođenja",IF(VALUE(MID(C151,13,1))&lt;&gt;L151,"Pogrešna kontrolna cifra - treba "&amp;L151,"✓ ispravan")))))</f>
        <v/>
      </c>
      <c r="K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L151">
        <f>IF(K151="","",IF(11-MOD(K151,11)&gt;9,0,11-MOD(K151,11)))</f>
        <v/>
      </c>
      <c r="M151">
        <f>IFERROR(IF(LEN(C151)&lt;&gt;13,"",IF(VALUE(MID(C151,5,3))&gt;=800,1000,2000)+VALUE(MID(C151,5,3))),"")</f>
        <v/>
      </c>
      <c r="N151">
        <f>IFERROR(IF(M151="","",IF(AND(DAY(DATE(M151,VALUE(MID(C151,3,2)),VALUE(MID(C151,1,2))))=VALUE(MID(C151,1,2)),MONTH(DATE(M151,VALUE(MID(C151,3,2)),VALUE(MID(C151,1,2))))=VALUE(MID(C151,3,2))),DATE(M151,VALUE(MID(C151,3,2)),VALUE(MID(C151,1,2))),"")),"")</f>
        <v/>
      </c>
    </row>
    <row r="152">
      <c r="A152" s="2" t="n"/>
      <c r="B152" s="2" t="n"/>
      <c r="C152" s="3" t="n"/>
      <c r="D152" s="2" t="n"/>
      <c r="E152" s="4">
        <f>IF(A152="","",5)</f>
        <v/>
      </c>
      <c r="F152" s="2" t="n"/>
      <c r="G152" s="4" t="n"/>
      <c r="H152" s="2" t="n"/>
      <c r="I152" s="2" t="n"/>
      <c r="J152" s="2">
        <f>IF(C152="","",IF(LEN(C152)&lt;&gt;13,"Nema 13 cifara (ima "&amp;LEN(C152)&amp;")",IF(L152="","JMBG sadrži nešto što nije cifra",IF(N152="","Nepostojeći datum rođenja",IF(VALUE(MID(C152,13,1))&lt;&gt;L152,"Pogrešna kontrolna cifra - treba "&amp;L152,"✓ ispravan")))))</f>
        <v/>
      </c>
      <c r="K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L152">
        <f>IF(K152="","",IF(11-MOD(K152,11)&gt;9,0,11-MOD(K152,11)))</f>
        <v/>
      </c>
      <c r="M152">
        <f>IFERROR(IF(LEN(C152)&lt;&gt;13,"",IF(VALUE(MID(C152,5,3))&gt;=800,1000,2000)+VALUE(MID(C152,5,3))),"")</f>
        <v/>
      </c>
      <c r="N152">
        <f>IFERROR(IF(M152="","",IF(AND(DAY(DATE(M152,VALUE(MID(C152,3,2)),VALUE(MID(C152,1,2))))=VALUE(MID(C152,1,2)),MONTH(DATE(M152,VALUE(MID(C152,3,2)),VALUE(MID(C152,1,2))))=VALUE(MID(C152,3,2))),DATE(M152,VALUE(MID(C152,3,2)),VALUE(MID(C152,1,2))),"")),"")</f>
        <v/>
      </c>
    </row>
    <row r="153">
      <c r="A153" s="2" t="n"/>
      <c r="B153" s="2" t="n"/>
      <c r="C153" s="3" t="n"/>
      <c r="D153" s="2" t="n"/>
      <c r="E153" s="4">
        <f>IF(A153="","",5)</f>
        <v/>
      </c>
      <c r="F153" s="2" t="n"/>
      <c r="G153" s="4" t="n"/>
      <c r="H153" s="2" t="n"/>
      <c r="I153" s="2" t="n"/>
      <c r="J153" s="2">
        <f>IF(C153="","",IF(LEN(C153)&lt;&gt;13,"Nema 13 cifara (ima "&amp;LEN(C153)&amp;")",IF(L153="","JMBG sadrži nešto što nije cifra",IF(N153="","Nepostojeći datum rođenja",IF(VALUE(MID(C153,13,1))&lt;&gt;L153,"Pogrešna kontrolna cifra - treba "&amp;L153,"✓ ispravan")))))</f>
        <v/>
      </c>
      <c r="K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L153">
        <f>IF(K153="","",IF(11-MOD(K153,11)&gt;9,0,11-MOD(K153,11)))</f>
        <v/>
      </c>
      <c r="M153">
        <f>IFERROR(IF(LEN(C153)&lt;&gt;13,"",IF(VALUE(MID(C153,5,3))&gt;=800,1000,2000)+VALUE(MID(C153,5,3))),"")</f>
        <v/>
      </c>
      <c r="N153">
        <f>IFERROR(IF(M153="","",IF(AND(DAY(DATE(M153,VALUE(MID(C153,3,2)),VALUE(MID(C153,1,2))))=VALUE(MID(C153,1,2)),MONTH(DATE(M153,VALUE(MID(C153,3,2)),VALUE(MID(C153,1,2))))=VALUE(MID(C153,3,2))),DATE(M153,VALUE(MID(C153,3,2)),VALUE(MID(C153,1,2))),"")),"")</f>
        <v/>
      </c>
    </row>
    <row r="154">
      <c r="A154" s="2" t="n"/>
      <c r="B154" s="2" t="n"/>
      <c r="C154" s="3" t="n"/>
      <c r="D154" s="2" t="n"/>
      <c r="E154" s="4">
        <f>IF(A154="","",5)</f>
        <v/>
      </c>
      <c r="F154" s="2" t="n"/>
      <c r="G154" s="4" t="n"/>
      <c r="H154" s="2" t="n"/>
      <c r="I154" s="2" t="n"/>
      <c r="J154" s="2">
        <f>IF(C154="","",IF(LEN(C154)&lt;&gt;13,"Nema 13 cifara (ima "&amp;LEN(C154)&amp;")",IF(L154="","JMBG sadrži nešto što nije cifra",IF(N154="","Nepostojeći datum rođenja",IF(VALUE(MID(C154,13,1))&lt;&gt;L154,"Pogrešna kontrolna cifra - treba "&amp;L154,"✓ ispravan")))))</f>
        <v/>
      </c>
      <c r="K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L154">
        <f>IF(K154="","",IF(11-MOD(K154,11)&gt;9,0,11-MOD(K154,11)))</f>
        <v/>
      </c>
      <c r="M154">
        <f>IFERROR(IF(LEN(C154)&lt;&gt;13,"",IF(VALUE(MID(C154,5,3))&gt;=800,1000,2000)+VALUE(MID(C154,5,3))),"")</f>
        <v/>
      </c>
      <c r="N154">
        <f>IFERROR(IF(M154="","",IF(AND(DAY(DATE(M154,VALUE(MID(C154,3,2)),VALUE(MID(C154,1,2))))=VALUE(MID(C154,1,2)),MONTH(DATE(M154,VALUE(MID(C154,3,2)),VALUE(MID(C154,1,2))))=VALUE(MID(C154,3,2))),DATE(M154,VALUE(MID(C154,3,2)),VALUE(MID(C154,1,2))),"")),"")</f>
        <v/>
      </c>
    </row>
    <row r="155">
      <c r="A155" s="2" t="n"/>
      <c r="B155" s="2" t="n"/>
      <c r="C155" s="3" t="n"/>
      <c r="D155" s="2" t="n"/>
      <c r="E155" s="4">
        <f>IF(A155="","",5)</f>
        <v/>
      </c>
      <c r="F155" s="2" t="n"/>
      <c r="G155" s="4" t="n"/>
      <c r="H155" s="2" t="n"/>
      <c r="I155" s="2" t="n"/>
      <c r="J155" s="2">
        <f>IF(C155="","",IF(LEN(C155)&lt;&gt;13,"Nema 13 cifara (ima "&amp;LEN(C155)&amp;")",IF(L155="","JMBG sadrži nešto što nije cifra",IF(N155="","Nepostojeći datum rođenja",IF(VALUE(MID(C155,13,1))&lt;&gt;L155,"Pogrešna kontrolna cifra - treba "&amp;L155,"✓ ispravan")))))</f>
        <v/>
      </c>
      <c r="K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L155">
        <f>IF(K155="","",IF(11-MOD(K155,11)&gt;9,0,11-MOD(K155,11)))</f>
        <v/>
      </c>
      <c r="M155">
        <f>IFERROR(IF(LEN(C155)&lt;&gt;13,"",IF(VALUE(MID(C155,5,3))&gt;=800,1000,2000)+VALUE(MID(C155,5,3))),"")</f>
        <v/>
      </c>
      <c r="N155">
        <f>IFERROR(IF(M155="","",IF(AND(DAY(DATE(M155,VALUE(MID(C155,3,2)),VALUE(MID(C155,1,2))))=VALUE(MID(C155,1,2)),MONTH(DATE(M155,VALUE(MID(C155,3,2)),VALUE(MID(C155,1,2))))=VALUE(MID(C155,3,2))),DATE(M155,VALUE(MID(C155,3,2)),VALUE(MID(C155,1,2))),"")),"")</f>
        <v/>
      </c>
    </row>
    <row r="156">
      <c r="A156" s="2" t="n"/>
      <c r="B156" s="2" t="n"/>
      <c r="C156" s="3" t="n"/>
      <c r="D156" s="2" t="n"/>
      <c r="E156" s="4">
        <f>IF(A156="","",5)</f>
        <v/>
      </c>
      <c r="F156" s="2" t="n"/>
      <c r="G156" s="4" t="n"/>
      <c r="H156" s="2" t="n"/>
      <c r="I156" s="2" t="n"/>
      <c r="J156" s="2">
        <f>IF(C156="","",IF(LEN(C156)&lt;&gt;13,"Nema 13 cifara (ima "&amp;LEN(C156)&amp;")",IF(L156="","JMBG sadrži nešto što nije cifra",IF(N156="","Nepostojeći datum rođenja",IF(VALUE(MID(C156,13,1))&lt;&gt;L156,"Pogrešna kontrolna cifra - treba "&amp;L156,"✓ ispravan")))))</f>
        <v/>
      </c>
      <c r="K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L156">
        <f>IF(K156="","",IF(11-MOD(K156,11)&gt;9,0,11-MOD(K156,11)))</f>
        <v/>
      </c>
      <c r="M156">
        <f>IFERROR(IF(LEN(C156)&lt;&gt;13,"",IF(VALUE(MID(C156,5,3))&gt;=800,1000,2000)+VALUE(MID(C156,5,3))),"")</f>
        <v/>
      </c>
      <c r="N156">
        <f>IFERROR(IF(M156="","",IF(AND(DAY(DATE(M156,VALUE(MID(C156,3,2)),VALUE(MID(C156,1,2))))=VALUE(MID(C156,1,2)),MONTH(DATE(M156,VALUE(MID(C156,3,2)),VALUE(MID(C156,1,2))))=VALUE(MID(C156,3,2))),DATE(M156,VALUE(MID(C156,3,2)),VALUE(MID(C156,1,2))),"")),"")</f>
        <v/>
      </c>
    </row>
    <row r="157">
      <c r="A157" s="2" t="n"/>
      <c r="B157" s="2" t="n"/>
      <c r="C157" s="3" t="n"/>
      <c r="D157" s="2" t="n"/>
      <c r="E157" s="4">
        <f>IF(A157="","",5)</f>
        <v/>
      </c>
      <c r="F157" s="2" t="n"/>
      <c r="G157" s="4" t="n"/>
      <c r="H157" s="2" t="n"/>
      <c r="I157" s="2" t="n"/>
      <c r="J157" s="2">
        <f>IF(C157="","",IF(LEN(C157)&lt;&gt;13,"Nema 13 cifara (ima "&amp;LEN(C157)&amp;")",IF(L157="","JMBG sadrži nešto što nije cifra",IF(N157="","Nepostojeći datum rođenja",IF(VALUE(MID(C157,13,1))&lt;&gt;L157,"Pogrešna kontrolna cifra - treba "&amp;L157,"✓ ispravan")))))</f>
        <v/>
      </c>
      <c r="K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L157">
        <f>IF(K157="","",IF(11-MOD(K157,11)&gt;9,0,11-MOD(K157,11)))</f>
        <v/>
      </c>
      <c r="M157">
        <f>IFERROR(IF(LEN(C157)&lt;&gt;13,"",IF(VALUE(MID(C157,5,3))&gt;=800,1000,2000)+VALUE(MID(C157,5,3))),"")</f>
        <v/>
      </c>
      <c r="N157">
        <f>IFERROR(IF(M157="","",IF(AND(DAY(DATE(M157,VALUE(MID(C157,3,2)),VALUE(MID(C157,1,2))))=VALUE(MID(C157,1,2)),MONTH(DATE(M157,VALUE(MID(C157,3,2)),VALUE(MID(C157,1,2))))=VALUE(MID(C157,3,2))),DATE(M157,VALUE(MID(C157,3,2)),VALUE(MID(C157,1,2))),"")),"")</f>
        <v/>
      </c>
    </row>
    <row r="158">
      <c r="A158" s="2" t="n"/>
      <c r="B158" s="2" t="n"/>
      <c r="C158" s="3" t="n"/>
      <c r="D158" s="2" t="n"/>
      <c r="E158" s="4">
        <f>IF(A158="","",5)</f>
        <v/>
      </c>
      <c r="F158" s="2" t="n"/>
      <c r="G158" s="4" t="n"/>
      <c r="H158" s="2" t="n"/>
      <c r="I158" s="2" t="n"/>
      <c r="J158" s="2">
        <f>IF(C158="","",IF(LEN(C158)&lt;&gt;13,"Nema 13 cifara (ima "&amp;LEN(C158)&amp;")",IF(L158="","JMBG sadrži nešto što nije cifra",IF(N158="","Nepostojeći datum rođenja",IF(VALUE(MID(C158,13,1))&lt;&gt;L158,"Pogrešna kontrolna cifra - treba "&amp;L158,"✓ ispravan")))))</f>
        <v/>
      </c>
      <c r="K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L158">
        <f>IF(K158="","",IF(11-MOD(K158,11)&gt;9,0,11-MOD(K158,11)))</f>
        <v/>
      </c>
      <c r="M158">
        <f>IFERROR(IF(LEN(C158)&lt;&gt;13,"",IF(VALUE(MID(C158,5,3))&gt;=800,1000,2000)+VALUE(MID(C158,5,3))),"")</f>
        <v/>
      </c>
      <c r="N158">
        <f>IFERROR(IF(M158="","",IF(AND(DAY(DATE(M158,VALUE(MID(C158,3,2)),VALUE(MID(C158,1,2))))=VALUE(MID(C158,1,2)),MONTH(DATE(M158,VALUE(MID(C158,3,2)),VALUE(MID(C158,1,2))))=VALUE(MID(C158,3,2))),DATE(M158,VALUE(MID(C158,3,2)),VALUE(MID(C158,1,2))),"")),"")</f>
        <v/>
      </c>
    </row>
    <row r="159">
      <c r="A159" s="2" t="n"/>
      <c r="B159" s="2" t="n"/>
      <c r="C159" s="3" t="n"/>
      <c r="D159" s="2" t="n"/>
      <c r="E159" s="4">
        <f>IF(A159="","",5)</f>
        <v/>
      </c>
      <c r="F159" s="2" t="n"/>
      <c r="G159" s="4" t="n"/>
      <c r="H159" s="2" t="n"/>
      <c r="I159" s="2" t="n"/>
      <c r="J159" s="2">
        <f>IF(C159="","",IF(LEN(C159)&lt;&gt;13,"Nema 13 cifara (ima "&amp;LEN(C159)&amp;")",IF(L159="","JMBG sadrži nešto što nije cifra",IF(N159="","Nepostojeći datum rođenja",IF(VALUE(MID(C159,13,1))&lt;&gt;L159,"Pogrešna kontrolna cifra - treba "&amp;L159,"✓ ispravan")))))</f>
        <v/>
      </c>
      <c r="K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L159">
        <f>IF(K159="","",IF(11-MOD(K159,11)&gt;9,0,11-MOD(K159,11)))</f>
        <v/>
      </c>
      <c r="M159">
        <f>IFERROR(IF(LEN(C159)&lt;&gt;13,"",IF(VALUE(MID(C159,5,3))&gt;=800,1000,2000)+VALUE(MID(C159,5,3))),"")</f>
        <v/>
      </c>
      <c r="N159">
        <f>IFERROR(IF(M159="","",IF(AND(DAY(DATE(M159,VALUE(MID(C159,3,2)),VALUE(MID(C159,1,2))))=VALUE(MID(C159,1,2)),MONTH(DATE(M159,VALUE(MID(C159,3,2)),VALUE(MID(C159,1,2))))=VALUE(MID(C159,3,2))),DATE(M159,VALUE(MID(C159,3,2)),VALUE(MID(C159,1,2))),"")),"")</f>
        <v/>
      </c>
    </row>
    <row r="160">
      <c r="A160" s="2" t="n"/>
      <c r="B160" s="2" t="n"/>
      <c r="C160" s="3" t="n"/>
      <c r="D160" s="2" t="n"/>
      <c r="E160" s="4">
        <f>IF(A160="","",5)</f>
        <v/>
      </c>
      <c r="F160" s="2" t="n"/>
      <c r="G160" s="4" t="n"/>
      <c r="H160" s="2" t="n"/>
      <c r="I160" s="2" t="n"/>
      <c r="J160" s="2">
        <f>IF(C160="","",IF(LEN(C160)&lt;&gt;13,"Nema 13 cifara (ima "&amp;LEN(C160)&amp;")",IF(L160="","JMBG sadrži nešto što nije cifra",IF(N160="","Nepostojeći datum rođenja",IF(VALUE(MID(C160,13,1))&lt;&gt;L160,"Pogrešna kontrolna cifra - treba "&amp;L160,"✓ ispravan")))))</f>
        <v/>
      </c>
      <c r="K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L160">
        <f>IF(K160="","",IF(11-MOD(K160,11)&gt;9,0,11-MOD(K160,11)))</f>
        <v/>
      </c>
      <c r="M160">
        <f>IFERROR(IF(LEN(C160)&lt;&gt;13,"",IF(VALUE(MID(C160,5,3))&gt;=800,1000,2000)+VALUE(MID(C160,5,3))),"")</f>
        <v/>
      </c>
      <c r="N160">
        <f>IFERROR(IF(M160="","",IF(AND(DAY(DATE(M160,VALUE(MID(C160,3,2)),VALUE(MID(C160,1,2))))=VALUE(MID(C160,1,2)),MONTH(DATE(M160,VALUE(MID(C160,3,2)),VALUE(MID(C160,1,2))))=VALUE(MID(C160,3,2))),DATE(M160,VALUE(MID(C160,3,2)),VALUE(MID(C160,1,2))),"")),"")</f>
        <v/>
      </c>
    </row>
    <row r="161">
      <c r="A161" s="2" t="n"/>
      <c r="B161" s="2" t="n"/>
      <c r="C161" s="3" t="n"/>
      <c r="D161" s="2" t="n"/>
      <c r="E161" s="4">
        <f>IF(A161="","",5)</f>
        <v/>
      </c>
      <c r="F161" s="2" t="n"/>
      <c r="G161" s="4" t="n"/>
      <c r="H161" s="2" t="n"/>
      <c r="I161" s="2" t="n"/>
      <c r="J161" s="2">
        <f>IF(C161="","",IF(LEN(C161)&lt;&gt;13,"Nema 13 cifara (ima "&amp;LEN(C161)&amp;")",IF(L161="","JMBG sadrži nešto što nije cifra",IF(N161="","Nepostojeći datum rođenja",IF(VALUE(MID(C161,13,1))&lt;&gt;L161,"Pogrešna kontrolna cifra - treba "&amp;L161,"✓ ispravan")))))</f>
        <v/>
      </c>
      <c r="K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L161">
        <f>IF(K161="","",IF(11-MOD(K161,11)&gt;9,0,11-MOD(K161,11)))</f>
        <v/>
      </c>
      <c r="M161">
        <f>IFERROR(IF(LEN(C161)&lt;&gt;13,"",IF(VALUE(MID(C161,5,3))&gt;=800,1000,2000)+VALUE(MID(C161,5,3))),"")</f>
        <v/>
      </c>
      <c r="N161">
        <f>IFERROR(IF(M161="","",IF(AND(DAY(DATE(M161,VALUE(MID(C161,3,2)),VALUE(MID(C161,1,2))))=VALUE(MID(C161,1,2)),MONTH(DATE(M161,VALUE(MID(C161,3,2)),VALUE(MID(C161,1,2))))=VALUE(MID(C161,3,2))),DATE(M161,VALUE(MID(C161,3,2)),VALUE(MID(C161,1,2))),"")),"")</f>
        <v/>
      </c>
    </row>
    <row r="162">
      <c r="A162" s="2" t="n"/>
      <c r="B162" s="2" t="n"/>
      <c r="C162" s="3" t="n"/>
      <c r="D162" s="2" t="n"/>
      <c r="E162" s="4">
        <f>IF(A162="","",5)</f>
        <v/>
      </c>
      <c r="F162" s="2" t="n"/>
      <c r="G162" s="4" t="n"/>
      <c r="H162" s="2" t="n"/>
      <c r="I162" s="2" t="n"/>
      <c r="J162" s="2">
        <f>IF(C162="","",IF(LEN(C162)&lt;&gt;13,"Nema 13 cifara (ima "&amp;LEN(C162)&amp;")",IF(L162="","JMBG sadrži nešto što nije cifra",IF(N162="","Nepostojeći datum rođenja",IF(VALUE(MID(C162,13,1))&lt;&gt;L162,"Pogrešna kontrolna cifra - treba "&amp;L162,"✓ ispravan")))))</f>
        <v/>
      </c>
      <c r="K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L162">
        <f>IF(K162="","",IF(11-MOD(K162,11)&gt;9,0,11-MOD(K162,11)))</f>
        <v/>
      </c>
      <c r="M162">
        <f>IFERROR(IF(LEN(C162)&lt;&gt;13,"",IF(VALUE(MID(C162,5,3))&gt;=800,1000,2000)+VALUE(MID(C162,5,3))),"")</f>
        <v/>
      </c>
      <c r="N162">
        <f>IFERROR(IF(M162="","",IF(AND(DAY(DATE(M162,VALUE(MID(C162,3,2)),VALUE(MID(C162,1,2))))=VALUE(MID(C162,1,2)),MONTH(DATE(M162,VALUE(MID(C162,3,2)),VALUE(MID(C162,1,2))))=VALUE(MID(C162,3,2))),DATE(M162,VALUE(MID(C162,3,2)),VALUE(MID(C162,1,2))),"")),"")</f>
        <v/>
      </c>
    </row>
    <row r="163">
      <c r="A163" s="2" t="n"/>
      <c r="B163" s="2" t="n"/>
      <c r="C163" s="3" t="n"/>
      <c r="D163" s="2" t="n"/>
      <c r="E163" s="4">
        <f>IF(A163="","",5)</f>
        <v/>
      </c>
      <c r="F163" s="2" t="n"/>
      <c r="G163" s="4" t="n"/>
      <c r="H163" s="2" t="n"/>
      <c r="I163" s="2" t="n"/>
      <c r="J163" s="2">
        <f>IF(C163="","",IF(LEN(C163)&lt;&gt;13,"Nema 13 cifara (ima "&amp;LEN(C163)&amp;")",IF(L163="","JMBG sadrži nešto što nije cifra",IF(N163="","Nepostojeći datum rođenja",IF(VALUE(MID(C163,13,1))&lt;&gt;L163,"Pogrešna kontrolna cifra - treba "&amp;L163,"✓ ispravan")))))</f>
        <v/>
      </c>
      <c r="K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L163">
        <f>IF(K163="","",IF(11-MOD(K163,11)&gt;9,0,11-MOD(K163,11)))</f>
        <v/>
      </c>
      <c r="M163">
        <f>IFERROR(IF(LEN(C163)&lt;&gt;13,"",IF(VALUE(MID(C163,5,3))&gt;=800,1000,2000)+VALUE(MID(C163,5,3))),"")</f>
        <v/>
      </c>
      <c r="N163">
        <f>IFERROR(IF(M163="","",IF(AND(DAY(DATE(M163,VALUE(MID(C163,3,2)),VALUE(MID(C163,1,2))))=VALUE(MID(C163,1,2)),MONTH(DATE(M163,VALUE(MID(C163,3,2)),VALUE(MID(C163,1,2))))=VALUE(MID(C163,3,2))),DATE(M163,VALUE(MID(C163,3,2)),VALUE(MID(C163,1,2))),"")),"")</f>
        <v/>
      </c>
    </row>
    <row r="164">
      <c r="A164" s="2" t="n"/>
      <c r="B164" s="2" t="n"/>
      <c r="C164" s="3" t="n"/>
      <c r="D164" s="2" t="n"/>
      <c r="E164" s="4">
        <f>IF(A164="","",5)</f>
        <v/>
      </c>
      <c r="F164" s="2" t="n"/>
      <c r="G164" s="4" t="n"/>
      <c r="H164" s="2" t="n"/>
      <c r="I164" s="2" t="n"/>
      <c r="J164" s="2">
        <f>IF(C164="","",IF(LEN(C164)&lt;&gt;13,"Nema 13 cifara (ima "&amp;LEN(C164)&amp;")",IF(L164="","JMBG sadrži nešto što nije cifra",IF(N164="","Nepostojeći datum rođenja",IF(VALUE(MID(C164,13,1))&lt;&gt;L164,"Pogrešna kontrolna cifra - treba "&amp;L164,"✓ ispravan")))))</f>
        <v/>
      </c>
      <c r="K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L164">
        <f>IF(K164="","",IF(11-MOD(K164,11)&gt;9,0,11-MOD(K164,11)))</f>
        <v/>
      </c>
      <c r="M164">
        <f>IFERROR(IF(LEN(C164)&lt;&gt;13,"",IF(VALUE(MID(C164,5,3))&gt;=800,1000,2000)+VALUE(MID(C164,5,3))),"")</f>
        <v/>
      </c>
      <c r="N164">
        <f>IFERROR(IF(M164="","",IF(AND(DAY(DATE(M164,VALUE(MID(C164,3,2)),VALUE(MID(C164,1,2))))=VALUE(MID(C164,1,2)),MONTH(DATE(M164,VALUE(MID(C164,3,2)),VALUE(MID(C164,1,2))))=VALUE(MID(C164,3,2))),DATE(M164,VALUE(MID(C164,3,2)),VALUE(MID(C164,1,2))),"")),"")</f>
        <v/>
      </c>
    </row>
    <row r="165">
      <c r="A165" s="2" t="n"/>
      <c r="B165" s="2" t="n"/>
      <c r="C165" s="3" t="n"/>
      <c r="D165" s="2" t="n"/>
      <c r="E165" s="4">
        <f>IF(A165="","",5)</f>
        <v/>
      </c>
      <c r="F165" s="2" t="n"/>
      <c r="G165" s="4" t="n"/>
      <c r="H165" s="2" t="n"/>
      <c r="I165" s="2" t="n"/>
      <c r="J165" s="2">
        <f>IF(C165="","",IF(LEN(C165)&lt;&gt;13,"Nema 13 cifara (ima "&amp;LEN(C165)&amp;")",IF(L165="","JMBG sadrži nešto što nije cifra",IF(N165="","Nepostojeći datum rođenja",IF(VALUE(MID(C165,13,1))&lt;&gt;L165,"Pogrešna kontrolna cifra - treba "&amp;L165,"✓ ispravan")))))</f>
        <v/>
      </c>
      <c r="K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L165">
        <f>IF(K165="","",IF(11-MOD(K165,11)&gt;9,0,11-MOD(K165,11)))</f>
        <v/>
      </c>
      <c r="M165">
        <f>IFERROR(IF(LEN(C165)&lt;&gt;13,"",IF(VALUE(MID(C165,5,3))&gt;=800,1000,2000)+VALUE(MID(C165,5,3))),"")</f>
        <v/>
      </c>
      <c r="N165">
        <f>IFERROR(IF(M165="","",IF(AND(DAY(DATE(M165,VALUE(MID(C165,3,2)),VALUE(MID(C165,1,2))))=VALUE(MID(C165,1,2)),MONTH(DATE(M165,VALUE(MID(C165,3,2)),VALUE(MID(C165,1,2))))=VALUE(MID(C165,3,2))),DATE(M165,VALUE(MID(C165,3,2)),VALUE(MID(C165,1,2))),"")),"")</f>
        <v/>
      </c>
    </row>
    <row r="166">
      <c r="A166" s="2" t="n"/>
      <c r="B166" s="2" t="n"/>
      <c r="C166" s="3" t="n"/>
      <c r="D166" s="2" t="n"/>
      <c r="E166" s="4">
        <f>IF(A166="","",5)</f>
        <v/>
      </c>
      <c r="F166" s="2" t="n"/>
      <c r="G166" s="4" t="n"/>
      <c r="H166" s="2" t="n"/>
      <c r="I166" s="2" t="n"/>
      <c r="J166" s="2">
        <f>IF(C166="","",IF(LEN(C166)&lt;&gt;13,"Nema 13 cifara (ima "&amp;LEN(C166)&amp;")",IF(L166="","JMBG sadrži nešto što nije cifra",IF(N166="","Nepostojeći datum rođenja",IF(VALUE(MID(C166,13,1))&lt;&gt;L166,"Pogrešna kontrolna cifra - treba "&amp;L166,"✓ ispravan")))))</f>
        <v/>
      </c>
      <c r="K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L166">
        <f>IF(K166="","",IF(11-MOD(K166,11)&gt;9,0,11-MOD(K166,11)))</f>
        <v/>
      </c>
      <c r="M166">
        <f>IFERROR(IF(LEN(C166)&lt;&gt;13,"",IF(VALUE(MID(C166,5,3))&gt;=800,1000,2000)+VALUE(MID(C166,5,3))),"")</f>
        <v/>
      </c>
      <c r="N166">
        <f>IFERROR(IF(M166="","",IF(AND(DAY(DATE(M166,VALUE(MID(C166,3,2)),VALUE(MID(C166,1,2))))=VALUE(MID(C166,1,2)),MONTH(DATE(M166,VALUE(MID(C166,3,2)),VALUE(MID(C166,1,2))))=VALUE(MID(C166,3,2))),DATE(M166,VALUE(MID(C166,3,2)),VALUE(MID(C166,1,2))),"")),"")</f>
        <v/>
      </c>
    </row>
    <row r="167">
      <c r="A167" s="2" t="n"/>
      <c r="B167" s="2" t="n"/>
      <c r="C167" s="3" t="n"/>
      <c r="D167" s="2" t="n"/>
      <c r="E167" s="4">
        <f>IF(A167="","",5)</f>
        <v/>
      </c>
      <c r="F167" s="2" t="n"/>
      <c r="G167" s="4" t="n"/>
      <c r="H167" s="2" t="n"/>
      <c r="I167" s="2" t="n"/>
      <c r="J167" s="2">
        <f>IF(C167="","",IF(LEN(C167)&lt;&gt;13,"Nema 13 cifara (ima "&amp;LEN(C167)&amp;")",IF(L167="","JMBG sadrži nešto što nije cifra",IF(N167="","Nepostojeći datum rođenja",IF(VALUE(MID(C167,13,1))&lt;&gt;L167,"Pogrešna kontrolna cifra - treba "&amp;L167,"✓ ispravan")))))</f>
        <v/>
      </c>
      <c r="K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L167">
        <f>IF(K167="","",IF(11-MOD(K167,11)&gt;9,0,11-MOD(K167,11)))</f>
        <v/>
      </c>
      <c r="M167">
        <f>IFERROR(IF(LEN(C167)&lt;&gt;13,"",IF(VALUE(MID(C167,5,3))&gt;=800,1000,2000)+VALUE(MID(C167,5,3))),"")</f>
        <v/>
      </c>
      <c r="N167">
        <f>IFERROR(IF(M167="","",IF(AND(DAY(DATE(M167,VALUE(MID(C167,3,2)),VALUE(MID(C167,1,2))))=VALUE(MID(C167,1,2)),MONTH(DATE(M167,VALUE(MID(C167,3,2)),VALUE(MID(C167,1,2))))=VALUE(MID(C167,3,2))),DATE(M167,VALUE(MID(C167,3,2)),VALUE(MID(C167,1,2))),"")),"")</f>
        <v/>
      </c>
    </row>
    <row r="168">
      <c r="A168" s="2" t="n"/>
      <c r="B168" s="2" t="n"/>
      <c r="C168" s="3" t="n"/>
      <c r="D168" s="2" t="n"/>
      <c r="E168" s="4">
        <f>IF(A168="","",5)</f>
        <v/>
      </c>
      <c r="F168" s="2" t="n"/>
      <c r="G168" s="4" t="n"/>
      <c r="H168" s="2" t="n"/>
      <c r="I168" s="2" t="n"/>
      <c r="J168" s="2">
        <f>IF(C168="","",IF(LEN(C168)&lt;&gt;13,"Nema 13 cifara (ima "&amp;LEN(C168)&amp;")",IF(L168="","JMBG sadrži nešto što nije cifra",IF(N168="","Nepostojeći datum rođenja",IF(VALUE(MID(C168,13,1))&lt;&gt;L168,"Pogrešna kontrolna cifra - treba "&amp;L168,"✓ ispravan")))))</f>
        <v/>
      </c>
      <c r="K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L168">
        <f>IF(K168="","",IF(11-MOD(K168,11)&gt;9,0,11-MOD(K168,11)))</f>
        <v/>
      </c>
      <c r="M168">
        <f>IFERROR(IF(LEN(C168)&lt;&gt;13,"",IF(VALUE(MID(C168,5,3))&gt;=800,1000,2000)+VALUE(MID(C168,5,3))),"")</f>
        <v/>
      </c>
      <c r="N168">
        <f>IFERROR(IF(M168="","",IF(AND(DAY(DATE(M168,VALUE(MID(C168,3,2)),VALUE(MID(C168,1,2))))=VALUE(MID(C168,1,2)),MONTH(DATE(M168,VALUE(MID(C168,3,2)),VALUE(MID(C168,1,2))))=VALUE(MID(C168,3,2))),DATE(M168,VALUE(MID(C168,3,2)),VALUE(MID(C168,1,2))),"")),"")</f>
        <v/>
      </c>
    </row>
    <row r="169">
      <c r="A169" s="2" t="n"/>
      <c r="B169" s="2" t="n"/>
      <c r="C169" s="3" t="n"/>
      <c r="D169" s="2" t="n"/>
      <c r="E169" s="4">
        <f>IF(A169="","",5)</f>
        <v/>
      </c>
      <c r="F169" s="2" t="n"/>
      <c r="G169" s="4" t="n"/>
      <c r="H169" s="2" t="n"/>
      <c r="I169" s="2" t="n"/>
      <c r="J169" s="2">
        <f>IF(C169="","",IF(LEN(C169)&lt;&gt;13,"Nema 13 cifara (ima "&amp;LEN(C169)&amp;")",IF(L169="","JMBG sadrži nešto što nije cifra",IF(N169="","Nepostojeći datum rođenja",IF(VALUE(MID(C169,13,1))&lt;&gt;L169,"Pogrešna kontrolna cifra - treba "&amp;L169,"✓ ispravan")))))</f>
        <v/>
      </c>
      <c r="K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L169">
        <f>IF(K169="","",IF(11-MOD(K169,11)&gt;9,0,11-MOD(K169,11)))</f>
        <v/>
      </c>
      <c r="M169">
        <f>IFERROR(IF(LEN(C169)&lt;&gt;13,"",IF(VALUE(MID(C169,5,3))&gt;=800,1000,2000)+VALUE(MID(C169,5,3))),"")</f>
        <v/>
      </c>
      <c r="N169">
        <f>IFERROR(IF(M169="","",IF(AND(DAY(DATE(M169,VALUE(MID(C169,3,2)),VALUE(MID(C169,1,2))))=VALUE(MID(C169,1,2)),MONTH(DATE(M169,VALUE(MID(C169,3,2)),VALUE(MID(C169,1,2))))=VALUE(MID(C169,3,2))),DATE(M169,VALUE(MID(C169,3,2)),VALUE(MID(C169,1,2))),"")),"")</f>
        <v/>
      </c>
    </row>
    <row r="170">
      <c r="A170" s="2" t="n"/>
      <c r="B170" s="2" t="n"/>
      <c r="C170" s="3" t="n"/>
      <c r="D170" s="2" t="n"/>
      <c r="E170" s="4">
        <f>IF(A170="","",5)</f>
        <v/>
      </c>
      <c r="F170" s="2" t="n"/>
      <c r="G170" s="4" t="n"/>
      <c r="H170" s="2" t="n"/>
      <c r="I170" s="2" t="n"/>
      <c r="J170" s="2">
        <f>IF(C170="","",IF(LEN(C170)&lt;&gt;13,"Nema 13 cifara (ima "&amp;LEN(C170)&amp;")",IF(L170="","JMBG sadrži nešto što nije cifra",IF(N170="","Nepostojeći datum rođenja",IF(VALUE(MID(C170,13,1))&lt;&gt;L170,"Pogrešna kontrolna cifra - treba "&amp;L170,"✓ ispravan")))))</f>
        <v/>
      </c>
      <c r="K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L170">
        <f>IF(K170="","",IF(11-MOD(K170,11)&gt;9,0,11-MOD(K170,11)))</f>
        <v/>
      </c>
      <c r="M170">
        <f>IFERROR(IF(LEN(C170)&lt;&gt;13,"",IF(VALUE(MID(C170,5,3))&gt;=800,1000,2000)+VALUE(MID(C170,5,3))),"")</f>
        <v/>
      </c>
      <c r="N170">
        <f>IFERROR(IF(M170="","",IF(AND(DAY(DATE(M170,VALUE(MID(C170,3,2)),VALUE(MID(C170,1,2))))=VALUE(MID(C170,1,2)),MONTH(DATE(M170,VALUE(MID(C170,3,2)),VALUE(MID(C170,1,2))))=VALUE(MID(C170,3,2))),DATE(M170,VALUE(MID(C170,3,2)),VALUE(MID(C170,1,2))),"")),"")</f>
        <v/>
      </c>
    </row>
    <row r="171">
      <c r="A171" s="2" t="n"/>
      <c r="B171" s="2" t="n"/>
      <c r="C171" s="3" t="n"/>
      <c r="D171" s="2" t="n"/>
      <c r="E171" s="4">
        <f>IF(A171="","",5)</f>
        <v/>
      </c>
      <c r="F171" s="2" t="n"/>
      <c r="G171" s="4" t="n"/>
      <c r="H171" s="2" t="n"/>
      <c r="I171" s="2" t="n"/>
      <c r="J171" s="2">
        <f>IF(C171="","",IF(LEN(C171)&lt;&gt;13,"Nema 13 cifara (ima "&amp;LEN(C171)&amp;")",IF(L171="","JMBG sadrži nešto što nije cifra",IF(N171="","Nepostojeći datum rođenja",IF(VALUE(MID(C171,13,1))&lt;&gt;L171,"Pogrešna kontrolna cifra - treba "&amp;L171,"✓ ispravan")))))</f>
        <v/>
      </c>
      <c r="K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L171">
        <f>IF(K171="","",IF(11-MOD(K171,11)&gt;9,0,11-MOD(K171,11)))</f>
        <v/>
      </c>
      <c r="M171">
        <f>IFERROR(IF(LEN(C171)&lt;&gt;13,"",IF(VALUE(MID(C171,5,3))&gt;=800,1000,2000)+VALUE(MID(C171,5,3))),"")</f>
        <v/>
      </c>
      <c r="N171">
        <f>IFERROR(IF(M171="","",IF(AND(DAY(DATE(M171,VALUE(MID(C171,3,2)),VALUE(MID(C171,1,2))))=VALUE(MID(C171,1,2)),MONTH(DATE(M171,VALUE(MID(C171,3,2)),VALUE(MID(C171,1,2))))=VALUE(MID(C171,3,2))),DATE(M171,VALUE(MID(C171,3,2)),VALUE(MID(C171,1,2))),"")),"")</f>
        <v/>
      </c>
    </row>
    <row r="172">
      <c r="A172" s="2" t="n"/>
      <c r="B172" s="2" t="n"/>
      <c r="C172" s="3" t="n"/>
      <c r="D172" s="2" t="n"/>
      <c r="E172" s="4">
        <f>IF(A172="","",5)</f>
        <v/>
      </c>
      <c r="F172" s="2" t="n"/>
      <c r="G172" s="4" t="n"/>
      <c r="H172" s="2" t="n"/>
      <c r="I172" s="2" t="n"/>
      <c r="J172" s="2">
        <f>IF(C172="","",IF(LEN(C172)&lt;&gt;13,"Nema 13 cifara (ima "&amp;LEN(C172)&amp;")",IF(L172="","JMBG sadrži nešto što nije cifra",IF(N172="","Nepostojeći datum rođenja",IF(VALUE(MID(C172,13,1))&lt;&gt;L172,"Pogrešna kontrolna cifra - treba "&amp;L172,"✓ ispravan")))))</f>
        <v/>
      </c>
      <c r="K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L172">
        <f>IF(K172="","",IF(11-MOD(K172,11)&gt;9,0,11-MOD(K172,11)))</f>
        <v/>
      </c>
      <c r="M172">
        <f>IFERROR(IF(LEN(C172)&lt;&gt;13,"",IF(VALUE(MID(C172,5,3))&gt;=800,1000,2000)+VALUE(MID(C172,5,3))),"")</f>
        <v/>
      </c>
      <c r="N172">
        <f>IFERROR(IF(M172="","",IF(AND(DAY(DATE(M172,VALUE(MID(C172,3,2)),VALUE(MID(C172,1,2))))=VALUE(MID(C172,1,2)),MONTH(DATE(M172,VALUE(MID(C172,3,2)),VALUE(MID(C172,1,2))))=VALUE(MID(C172,3,2))),DATE(M172,VALUE(MID(C172,3,2)),VALUE(MID(C172,1,2))),"")),"")</f>
        <v/>
      </c>
    </row>
    <row r="173">
      <c r="A173" s="2" t="n"/>
      <c r="B173" s="2" t="n"/>
      <c r="C173" s="3" t="n"/>
      <c r="D173" s="2" t="n"/>
      <c r="E173" s="4">
        <f>IF(A173="","",5)</f>
        <v/>
      </c>
      <c r="F173" s="2" t="n"/>
      <c r="G173" s="4" t="n"/>
      <c r="H173" s="2" t="n"/>
      <c r="I173" s="2" t="n"/>
      <c r="J173" s="2">
        <f>IF(C173="","",IF(LEN(C173)&lt;&gt;13,"Nema 13 cifara (ima "&amp;LEN(C173)&amp;")",IF(L173="","JMBG sadrži nešto što nije cifra",IF(N173="","Nepostojeći datum rođenja",IF(VALUE(MID(C173,13,1))&lt;&gt;L173,"Pogrešna kontrolna cifra - treba "&amp;L173,"✓ ispravan")))))</f>
        <v/>
      </c>
      <c r="K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L173">
        <f>IF(K173="","",IF(11-MOD(K173,11)&gt;9,0,11-MOD(K173,11)))</f>
        <v/>
      </c>
      <c r="M173">
        <f>IFERROR(IF(LEN(C173)&lt;&gt;13,"",IF(VALUE(MID(C173,5,3))&gt;=800,1000,2000)+VALUE(MID(C173,5,3))),"")</f>
        <v/>
      </c>
      <c r="N173">
        <f>IFERROR(IF(M173="","",IF(AND(DAY(DATE(M173,VALUE(MID(C173,3,2)),VALUE(MID(C173,1,2))))=VALUE(MID(C173,1,2)),MONTH(DATE(M173,VALUE(MID(C173,3,2)),VALUE(MID(C173,1,2))))=VALUE(MID(C173,3,2))),DATE(M173,VALUE(MID(C173,3,2)),VALUE(MID(C173,1,2))),"")),"")</f>
        <v/>
      </c>
    </row>
    <row r="174">
      <c r="A174" s="2" t="n"/>
      <c r="B174" s="2" t="n"/>
      <c r="C174" s="3" t="n"/>
      <c r="D174" s="2" t="n"/>
      <c r="E174" s="4">
        <f>IF(A174="","",5)</f>
        <v/>
      </c>
      <c r="F174" s="2" t="n"/>
      <c r="G174" s="4" t="n"/>
      <c r="H174" s="2" t="n"/>
      <c r="I174" s="2" t="n"/>
      <c r="J174" s="2">
        <f>IF(C174="","",IF(LEN(C174)&lt;&gt;13,"Nema 13 cifara (ima "&amp;LEN(C174)&amp;")",IF(L174="","JMBG sadrži nešto što nije cifra",IF(N174="","Nepostojeći datum rođenja",IF(VALUE(MID(C174,13,1))&lt;&gt;L174,"Pogrešna kontrolna cifra - treba "&amp;L174,"✓ ispravan")))))</f>
        <v/>
      </c>
      <c r="K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L174">
        <f>IF(K174="","",IF(11-MOD(K174,11)&gt;9,0,11-MOD(K174,11)))</f>
        <v/>
      </c>
      <c r="M174">
        <f>IFERROR(IF(LEN(C174)&lt;&gt;13,"",IF(VALUE(MID(C174,5,3))&gt;=800,1000,2000)+VALUE(MID(C174,5,3))),"")</f>
        <v/>
      </c>
      <c r="N174">
        <f>IFERROR(IF(M174="","",IF(AND(DAY(DATE(M174,VALUE(MID(C174,3,2)),VALUE(MID(C174,1,2))))=VALUE(MID(C174,1,2)),MONTH(DATE(M174,VALUE(MID(C174,3,2)),VALUE(MID(C174,1,2))))=VALUE(MID(C174,3,2))),DATE(M174,VALUE(MID(C174,3,2)),VALUE(MID(C174,1,2))),"")),"")</f>
        <v/>
      </c>
    </row>
    <row r="175">
      <c r="A175" s="2" t="n"/>
      <c r="B175" s="2" t="n"/>
      <c r="C175" s="3" t="n"/>
      <c r="D175" s="2" t="n"/>
      <c r="E175" s="4">
        <f>IF(A175="","",5)</f>
        <v/>
      </c>
      <c r="F175" s="2" t="n"/>
      <c r="G175" s="4" t="n"/>
      <c r="H175" s="2" t="n"/>
      <c r="I175" s="2" t="n"/>
      <c r="J175" s="2">
        <f>IF(C175="","",IF(LEN(C175)&lt;&gt;13,"Nema 13 cifara (ima "&amp;LEN(C175)&amp;")",IF(L175="","JMBG sadrži nešto što nije cifra",IF(N175="","Nepostojeći datum rođenja",IF(VALUE(MID(C175,13,1))&lt;&gt;L175,"Pogrešna kontrolna cifra - treba "&amp;L175,"✓ ispravan")))))</f>
        <v/>
      </c>
      <c r="K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L175">
        <f>IF(K175="","",IF(11-MOD(K175,11)&gt;9,0,11-MOD(K175,11)))</f>
        <v/>
      </c>
      <c r="M175">
        <f>IFERROR(IF(LEN(C175)&lt;&gt;13,"",IF(VALUE(MID(C175,5,3))&gt;=800,1000,2000)+VALUE(MID(C175,5,3))),"")</f>
        <v/>
      </c>
      <c r="N175">
        <f>IFERROR(IF(M175="","",IF(AND(DAY(DATE(M175,VALUE(MID(C175,3,2)),VALUE(MID(C175,1,2))))=VALUE(MID(C175,1,2)),MONTH(DATE(M175,VALUE(MID(C175,3,2)),VALUE(MID(C175,1,2))))=VALUE(MID(C175,3,2))),DATE(M175,VALUE(MID(C175,3,2)),VALUE(MID(C175,1,2))),"")),"")</f>
        <v/>
      </c>
    </row>
    <row r="176">
      <c r="A176" s="2" t="n"/>
      <c r="B176" s="2" t="n"/>
      <c r="C176" s="3" t="n"/>
      <c r="D176" s="2" t="n"/>
      <c r="E176" s="4">
        <f>IF(A176="","",5)</f>
        <v/>
      </c>
      <c r="F176" s="2" t="n"/>
      <c r="G176" s="4" t="n"/>
      <c r="H176" s="2" t="n"/>
      <c r="I176" s="2" t="n"/>
      <c r="J176" s="2">
        <f>IF(C176="","",IF(LEN(C176)&lt;&gt;13,"Nema 13 cifara (ima "&amp;LEN(C176)&amp;")",IF(L176="","JMBG sadrži nešto što nije cifra",IF(N176="","Nepostojeći datum rođenja",IF(VALUE(MID(C176,13,1))&lt;&gt;L176,"Pogrešna kontrolna cifra - treba "&amp;L176,"✓ ispravan")))))</f>
        <v/>
      </c>
      <c r="K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L176">
        <f>IF(K176="","",IF(11-MOD(K176,11)&gt;9,0,11-MOD(K176,11)))</f>
        <v/>
      </c>
      <c r="M176">
        <f>IFERROR(IF(LEN(C176)&lt;&gt;13,"",IF(VALUE(MID(C176,5,3))&gt;=800,1000,2000)+VALUE(MID(C176,5,3))),"")</f>
        <v/>
      </c>
      <c r="N176">
        <f>IFERROR(IF(M176="","",IF(AND(DAY(DATE(M176,VALUE(MID(C176,3,2)),VALUE(MID(C176,1,2))))=VALUE(MID(C176,1,2)),MONTH(DATE(M176,VALUE(MID(C176,3,2)),VALUE(MID(C176,1,2))))=VALUE(MID(C176,3,2))),DATE(M176,VALUE(MID(C176,3,2)),VALUE(MID(C176,1,2))),"")),"")</f>
        <v/>
      </c>
    </row>
    <row r="177">
      <c r="A177" s="2" t="n"/>
      <c r="B177" s="2" t="n"/>
      <c r="C177" s="3" t="n"/>
      <c r="D177" s="2" t="n"/>
      <c r="E177" s="4">
        <f>IF(A177="","",5)</f>
        <v/>
      </c>
      <c r="F177" s="2" t="n"/>
      <c r="G177" s="4" t="n"/>
      <c r="H177" s="2" t="n"/>
      <c r="I177" s="2" t="n"/>
      <c r="J177" s="2">
        <f>IF(C177="","",IF(LEN(C177)&lt;&gt;13,"Nema 13 cifara (ima "&amp;LEN(C177)&amp;")",IF(L177="","JMBG sadrži nešto što nije cifra",IF(N177="","Nepostojeći datum rođenja",IF(VALUE(MID(C177,13,1))&lt;&gt;L177,"Pogrešna kontrolna cifra - treba "&amp;L177,"✓ ispravan")))))</f>
        <v/>
      </c>
      <c r="K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L177">
        <f>IF(K177="","",IF(11-MOD(K177,11)&gt;9,0,11-MOD(K177,11)))</f>
        <v/>
      </c>
      <c r="M177">
        <f>IFERROR(IF(LEN(C177)&lt;&gt;13,"",IF(VALUE(MID(C177,5,3))&gt;=800,1000,2000)+VALUE(MID(C177,5,3))),"")</f>
        <v/>
      </c>
      <c r="N177">
        <f>IFERROR(IF(M177="","",IF(AND(DAY(DATE(M177,VALUE(MID(C177,3,2)),VALUE(MID(C177,1,2))))=VALUE(MID(C177,1,2)),MONTH(DATE(M177,VALUE(MID(C177,3,2)),VALUE(MID(C177,1,2))))=VALUE(MID(C177,3,2))),DATE(M177,VALUE(MID(C177,3,2)),VALUE(MID(C177,1,2))),"")),"")</f>
        <v/>
      </c>
    </row>
    <row r="178">
      <c r="A178" s="2" t="n"/>
      <c r="B178" s="2" t="n"/>
      <c r="C178" s="3" t="n"/>
      <c r="D178" s="2" t="n"/>
      <c r="E178" s="4">
        <f>IF(A178="","",5)</f>
        <v/>
      </c>
      <c r="F178" s="2" t="n"/>
      <c r="G178" s="4" t="n"/>
      <c r="H178" s="2" t="n"/>
      <c r="I178" s="2" t="n"/>
      <c r="J178" s="2">
        <f>IF(C178="","",IF(LEN(C178)&lt;&gt;13,"Nema 13 cifara (ima "&amp;LEN(C178)&amp;")",IF(L178="","JMBG sadrži nešto što nije cifra",IF(N178="","Nepostojeći datum rođenja",IF(VALUE(MID(C178,13,1))&lt;&gt;L178,"Pogrešna kontrolna cifra - treba "&amp;L178,"✓ ispravan")))))</f>
        <v/>
      </c>
      <c r="K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L178">
        <f>IF(K178="","",IF(11-MOD(K178,11)&gt;9,0,11-MOD(K178,11)))</f>
        <v/>
      </c>
      <c r="M178">
        <f>IFERROR(IF(LEN(C178)&lt;&gt;13,"",IF(VALUE(MID(C178,5,3))&gt;=800,1000,2000)+VALUE(MID(C178,5,3))),"")</f>
        <v/>
      </c>
      <c r="N178">
        <f>IFERROR(IF(M178="","",IF(AND(DAY(DATE(M178,VALUE(MID(C178,3,2)),VALUE(MID(C178,1,2))))=VALUE(MID(C178,1,2)),MONTH(DATE(M178,VALUE(MID(C178,3,2)),VALUE(MID(C178,1,2))))=VALUE(MID(C178,3,2))),DATE(M178,VALUE(MID(C178,3,2)),VALUE(MID(C178,1,2))),"")),"")</f>
        <v/>
      </c>
    </row>
    <row r="179">
      <c r="A179" s="2" t="n"/>
      <c r="B179" s="2" t="n"/>
      <c r="C179" s="3" t="n"/>
      <c r="D179" s="2" t="n"/>
      <c r="E179" s="4">
        <f>IF(A179="","",5)</f>
        <v/>
      </c>
      <c r="F179" s="2" t="n"/>
      <c r="G179" s="4" t="n"/>
      <c r="H179" s="2" t="n"/>
      <c r="I179" s="2" t="n"/>
      <c r="J179" s="2">
        <f>IF(C179="","",IF(LEN(C179)&lt;&gt;13,"Nema 13 cifara (ima "&amp;LEN(C179)&amp;")",IF(L179="","JMBG sadrži nešto što nije cifra",IF(N179="","Nepostojeći datum rođenja",IF(VALUE(MID(C179,13,1))&lt;&gt;L179,"Pogrešna kontrolna cifra - treba "&amp;L179,"✓ ispravan")))))</f>
        <v/>
      </c>
      <c r="K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L179">
        <f>IF(K179="","",IF(11-MOD(K179,11)&gt;9,0,11-MOD(K179,11)))</f>
        <v/>
      </c>
      <c r="M179">
        <f>IFERROR(IF(LEN(C179)&lt;&gt;13,"",IF(VALUE(MID(C179,5,3))&gt;=800,1000,2000)+VALUE(MID(C179,5,3))),"")</f>
        <v/>
      </c>
      <c r="N179">
        <f>IFERROR(IF(M179="","",IF(AND(DAY(DATE(M179,VALUE(MID(C179,3,2)),VALUE(MID(C179,1,2))))=VALUE(MID(C179,1,2)),MONTH(DATE(M179,VALUE(MID(C179,3,2)),VALUE(MID(C179,1,2))))=VALUE(MID(C179,3,2))),DATE(M179,VALUE(MID(C179,3,2)),VALUE(MID(C179,1,2))),"")),"")</f>
        <v/>
      </c>
    </row>
    <row r="180">
      <c r="A180" s="2" t="n"/>
      <c r="B180" s="2" t="n"/>
      <c r="C180" s="3" t="n"/>
      <c r="D180" s="2" t="n"/>
      <c r="E180" s="4">
        <f>IF(A180="","",5)</f>
        <v/>
      </c>
      <c r="F180" s="2" t="n"/>
      <c r="G180" s="4" t="n"/>
      <c r="H180" s="2" t="n"/>
      <c r="I180" s="2" t="n"/>
      <c r="J180" s="2">
        <f>IF(C180="","",IF(LEN(C180)&lt;&gt;13,"Nema 13 cifara (ima "&amp;LEN(C180)&amp;")",IF(L180="","JMBG sadrži nešto što nije cifra",IF(N180="","Nepostojeći datum rođenja",IF(VALUE(MID(C180,13,1))&lt;&gt;L180,"Pogrešna kontrolna cifra - treba "&amp;L180,"✓ ispravan")))))</f>
        <v/>
      </c>
      <c r="K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L180">
        <f>IF(K180="","",IF(11-MOD(K180,11)&gt;9,0,11-MOD(K180,11)))</f>
        <v/>
      </c>
      <c r="M180">
        <f>IFERROR(IF(LEN(C180)&lt;&gt;13,"",IF(VALUE(MID(C180,5,3))&gt;=800,1000,2000)+VALUE(MID(C180,5,3))),"")</f>
        <v/>
      </c>
      <c r="N180">
        <f>IFERROR(IF(M180="","",IF(AND(DAY(DATE(M180,VALUE(MID(C180,3,2)),VALUE(MID(C180,1,2))))=VALUE(MID(C180,1,2)),MONTH(DATE(M180,VALUE(MID(C180,3,2)),VALUE(MID(C180,1,2))))=VALUE(MID(C180,3,2))),DATE(M180,VALUE(MID(C180,3,2)),VALUE(MID(C180,1,2))),"")),"")</f>
        <v/>
      </c>
    </row>
    <row r="181">
      <c r="A181" s="2" t="n"/>
      <c r="B181" s="2" t="n"/>
      <c r="C181" s="3" t="n"/>
      <c r="D181" s="2" t="n"/>
      <c r="E181" s="4">
        <f>IF(A181="","",5)</f>
        <v/>
      </c>
      <c r="F181" s="2" t="n"/>
      <c r="G181" s="4" t="n"/>
      <c r="H181" s="2" t="n"/>
      <c r="I181" s="2" t="n"/>
      <c r="J181" s="2">
        <f>IF(C181="","",IF(LEN(C181)&lt;&gt;13,"Nema 13 cifara (ima "&amp;LEN(C181)&amp;")",IF(L181="","JMBG sadrži nešto što nije cifra",IF(N181="","Nepostojeći datum rođenja",IF(VALUE(MID(C181,13,1))&lt;&gt;L181,"Pogrešna kontrolna cifra - treba "&amp;L181,"✓ ispravan")))))</f>
        <v/>
      </c>
      <c r="K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L181">
        <f>IF(K181="","",IF(11-MOD(K181,11)&gt;9,0,11-MOD(K181,11)))</f>
        <v/>
      </c>
      <c r="M181">
        <f>IFERROR(IF(LEN(C181)&lt;&gt;13,"",IF(VALUE(MID(C181,5,3))&gt;=800,1000,2000)+VALUE(MID(C181,5,3))),"")</f>
        <v/>
      </c>
      <c r="N181">
        <f>IFERROR(IF(M181="","",IF(AND(DAY(DATE(M181,VALUE(MID(C181,3,2)),VALUE(MID(C181,1,2))))=VALUE(MID(C181,1,2)),MONTH(DATE(M181,VALUE(MID(C181,3,2)),VALUE(MID(C181,1,2))))=VALUE(MID(C181,3,2))),DATE(M181,VALUE(MID(C181,3,2)),VALUE(MID(C181,1,2))),"")),"")</f>
        <v/>
      </c>
    </row>
    <row r="182">
      <c r="A182" s="2" t="n"/>
      <c r="B182" s="2" t="n"/>
      <c r="C182" s="3" t="n"/>
      <c r="D182" s="2" t="n"/>
      <c r="E182" s="4">
        <f>IF(A182="","",5)</f>
        <v/>
      </c>
      <c r="F182" s="2" t="n"/>
      <c r="G182" s="4" t="n"/>
      <c r="H182" s="2" t="n"/>
      <c r="I182" s="2" t="n"/>
      <c r="J182" s="2">
        <f>IF(C182="","",IF(LEN(C182)&lt;&gt;13,"Nema 13 cifara (ima "&amp;LEN(C182)&amp;")",IF(L182="","JMBG sadrži nešto što nije cifra",IF(N182="","Nepostojeći datum rođenja",IF(VALUE(MID(C182,13,1))&lt;&gt;L182,"Pogrešna kontrolna cifra - treba "&amp;L182,"✓ ispravan")))))</f>
        <v/>
      </c>
      <c r="K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L182">
        <f>IF(K182="","",IF(11-MOD(K182,11)&gt;9,0,11-MOD(K182,11)))</f>
        <v/>
      </c>
      <c r="M182">
        <f>IFERROR(IF(LEN(C182)&lt;&gt;13,"",IF(VALUE(MID(C182,5,3))&gt;=800,1000,2000)+VALUE(MID(C182,5,3))),"")</f>
        <v/>
      </c>
      <c r="N182">
        <f>IFERROR(IF(M182="","",IF(AND(DAY(DATE(M182,VALUE(MID(C182,3,2)),VALUE(MID(C182,1,2))))=VALUE(MID(C182,1,2)),MONTH(DATE(M182,VALUE(MID(C182,3,2)),VALUE(MID(C182,1,2))))=VALUE(MID(C182,3,2))),DATE(M182,VALUE(MID(C182,3,2)),VALUE(MID(C182,1,2))),"")),"")</f>
        <v/>
      </c>
    </row>
    <row r="183">
      <c r="A183" s="2" t="n"/>
      <c r="B183" s="2" t="n"/>
      <c r="C183" s="3" t="n"/>
      <c r="D183" s="2" t="n"/>
      <c r="E183" s="4">
        <f>IF(A183="","",5)</f>
        <v/>
      </c>
      <c r="F183" s="2" t="n"/>
      <c r="G183" s="4" t="n"/>
      <c r="H183" s="2" t="n"/>
      <c r="I183" s="2" t="n"/>
      <c r="J183" s="2">
        <f>IF(C183="","",IF(LEN(C183)&lt;&gt;13,"Nema 13 cifara (ima "&amp;LEN(C183)&amp;")",IF(L183="","JMBG sadrži nešto što nije cifra",IF(N183="","Nepostojeći datum rođenja",IF(VALUE(MID(C183,13,1))&lt;&gt;L183,"Pogrešna kontrolna cifra - treba "&amp;L183,"✓ ispravan")))))</f>
        <v/>
      </c>
      <c r="K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L183">
        <f>IF(K183="","",IF(11-MOD(K183,11)&gt;9,0,11-MOD(K183,11)))</f>
        <v/>
      </c>
      <c r="M183">
        <f>IFERROR(IF(LEN(C183)&lt;&gt;13,"",IF(VALUE(MID(C183,5,3))&gt;=800,1000,2000)+VALUE(MID(C183,5,3))),"")</f>
        <v/>
      </c>
      <c r="N183">
        <f>IFERROR(IF(M183="","",IF(AND(DAY(DATE(M183,VALUE(MID(C183,3,2)),VALUE(MID(C183,1,2))))=VALUE(MID(C183,1,2)),MONTH(DATE(M183,VALUE(MID(C183,3,2)),VALUE(MID(C183,1,2))))=VALUE(MID(C183,3,2))),DATE(M183,VALUE(MID(C183,3,2)),VALUE(MID(C183,1,2))),"")),"")</f>
        <v/>
      </c>
    </row>
    <row r="184">
      <c r="A184" s="2" t="n"/>
      <c r="B184" s="2" t="n"/>
      <c r="C184" s="3" t="n"/>
      <c r="D184" s="2" t="n"/>
      <c r="E184" s="4">
        <f>IF(A184="","",5)</f>
        <v/>
      </c>
      <c r="F184" s="2" t="n"/>
      <c r="G184" s="4" t="n"/>
      <c r="H184" s="2" t="n"/>
      <c r="I184" s="2" t="n"/>
      <c r="J184" s="2">
        <f>IF(C184="","",IF(LEN(C184)&lt;&gt;13,"Nema 13 cifara (ima "&amp;LEN(C184)&amp;")",IF(L184="","JMBG sadrži nešto što nije cifra",IF(N184="","Nepostojeći datum rođenja",IF(VALUE(MID(C184,13,1))&lt;&gt;L184,"Pogrešna kontrolna cifra - treba "&amp;L184,"✓ ispravan")))))</f>
        <v/>
      </c>
      <c r="K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L184">
        <f>IF(K184="","",IF(11-MOD(K184,11)&gt;9,0,11-MOD(K184,11)))</f>
        <v/>
      </c>
      <c r="M184">
        <f>IFERROR(IF(LEN(C184)&lt;&gt;13,"",IF(VALUE(MID(C184,5,3))&gt;=800,1000,2000)+VALUE(MID(C184,5,3))),"")</f>
        <v/>
      </c>
      <c r="N184">
        <f>IFERROR(IF(M184="","",IF(AND(DAY(DATE(M184,VALUE(MID(C184,3,2)),VALUE(MID(C184,1,2))))=VALUE(MID(C184,1,2)),MONTH(DATE(M184,VALUE(MID(C184,3,2)),VALUE(MID(C184,1,2))))=VALUE(MID(C184,3,2))),DATE(M184,VALUE(MID(C184,3,2)),VALUE(MID(C184,1,2))),"")),"")</f>
        <v/>
      </c>
    </row>
    <row r="185">
      <c r="A185" s="2" t="n"/>
      <c r="B185" s="2" t="n"/>
      <c r="C185" s="3" t="n"/>
      <c r="D185" s="2" t="n"/>
      <c r="E185" s="4">
        <f>IF(A185="","",5)</f>
        <v/>
      </c>
      <c r="F185" s="2" t="n"/>
      <c r="G185" s="4" t="n"/>
      <c r="H185" s="2" t="n"/>
      <c r="I185" s="2" t="n"/>
      <c r="J185" s="2">
        <f>IF(C185="","",IF(LEN(C185)&lt;&gt;13,"Nema 13 cifara (ima "&amp;LEN(C185)&amp;")",IF(L185="","JMBG sadrži nešto što nije cifra",IF(N185="","Nepostojeći datum rođenja",IF(VALUE(MID(C185,13,1))&lt;&gt;L185,"Pogrešna kontrolna cifra - treba "&amp;L185,"✓ ispravan")))))</f>
        <v/>
      </c>
      <c r="K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L185">
        <f>IF(K185="","",IF(11-MOD(K185,11)&gt;9,0,11-MOD(K185,11)))</f>
        <v/>
      </c>
      <c r="M185">
        <f>IFERROR(IF(LEN(C185)&lt;&gt;13,"",IF(VALUE(MID(C185,5,3))&gt;=800,1000,2000)+VALUE(MID(C185,5,3))),"")</f>
        <v/>
      </c>
      <c r="N185">
        <f>IFERROR(IF(M185="","",IF(AND(DAY(DATE(M185,VALUE(MID(C185,3,2)),VALUE(MID(C185,1,2))))=VALUE(MID(C185,1,2)),MONTH(DATE(M185,VALUE(MID(C185,3,2)),VALUE(MID(C185,1,2))))=VALUE(MID(C185,3,2))),DATE(M185,VALUE(MID(C185,3,2)),VALUE(MID(C185,1,2))),"")),"")</f>
        <v/>
      </c>
    </row>
    <row r="186">
      <c r="A186" s="2" t="n"/>
      <c r="B186" s="2" t="n"/>
      <c r="C186" s="3" t="n"/>
      <c r="D186" s="2" t="n"/>
      <c r="E186" s="4">
        <f>IF(A186="","",5)</f>
        <v/>
      </c>
      <c r="F186" s="2" t="n"/>
      <c r="G186" s="4" t="n"/>
      <c r="H186" s="2" t="n"/>
      <c r="I186" s="2" t="n"/>
      <c r="J186" s="2">
        <f>IF(C186="","",IF(LEN(C186)&lt;&gt;13,"Nema 13 cifara (ima "&amp;LEN(C186)&amp;")",IF(L186="","JMBG sadrži nešto što nije cifra",IF(N186="","Nepostojeći datum rođenja",IF(VALUE(MID(C186,13,1))&lt;&gt;L186,"Pogrešna kontrolna cifra - treba "&amp;L186,"✓ ispravan")))))</f>
        <v/>
      </c>
      <c r="K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L186">
        <f>IF(K186="","",IF(11-MOD(K186,11)&gt;9,0,11-MOD(K186,11)))</f>
        <v/>
      </c>
      <c r="M186">
        <f>IFERROR(IF(LEN(C186)&lt;&gt;13,"",IF(VALUE(MID(C186,5,3))&gt;=800,1000,2000)+VALUE(MID(C186,5,3))),"")</f>
        <v/>
      </c>
      <c r="N186">
        <f>IFERROR(IF(M186="","",IF(AND(DAY(DATE(M186,VALUE(MID(C186,3,2)),VALUE(MID(C186,1,2))))=VALUE(MID(C186,1,2)),MONTH(DATE(M186,VALUE(MID(C186,3,2)),VALUE(MID(C186,1,2))))=VALUE(MID(C186,3,2))),DATE(M186,VALUE(MID(C186,3,2)),VALUE(MID(C186,1,2))),"")),"")</f>
        <v/>
      </c>
    </row>
    <row r="187">
      <c r="A187" s="2" t="n"/>
      <c r="B187" s="2" t="n"/>
      <c r="C187" s="3" t="n"/>
      <c r="D187" s="2" t="n"/>
      <c r="E187" s="4">
        <f>IF(A187="","",5)</f>
        <v/>
      </c>
      <c r="F187" s="2" t="n"/>
      <c r="G187" s="4" t="n"/>
      <c r="H187" s="2" t="n"/>
      <c r="I187" s="2" t="n"/>
      <c r="J187" s="2">
        <f>IF(C187="","",IF(LEN(C187)&lt;&gt;13,"Nema 13 cifara (ima "&amp;LEN(C187)&amp;")",IF(L187="","JMBG sadrži nešto što nije cifra",IF(N187="","Nepostojeći datum rođenja",IF(VALUE(MID(C187,13,1))&lt;&gt;L187,"Pogrešna kontrolna cifra - treba "&amp;L187,"✓ ispravan")))))</f>
        <v/>
      </c>
      <c r="K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L187">
        <f>IF(K187="","",IF(11-MOD(K187,11)&gt;9,0,11-MOD(K187,11)))</f>
        <v/>
      </c>
      <c r="M187">
        <f>IFERROR(IF(LEN(C187)&lt;&gt;13,"",IF(VALUE(MID(C187,5,3))&gt;=800,1000,2000)+VALUE(MID(C187,5,3))),"")</f>
        <v/>
      </c>
      <c r="N187">
        <f>IFERROR(IF(M187="","",IF(AND(DAY(DATE(M187,VALUE(MID(C187,3,2)),VALUE(MID(C187,1,2))))=VALUE(MID(C187,1,2)),MONTH(DATE(M187,VALUE(MID(C187,3,2)),VALUE(MID(C187,1,2))))=VALUE(MID(C187,3,2))),DATE(M187,VALUE(MID(C187,3,2)),VALUE(MID(C187,1,2))),"")),"")</f>
        <v/>
      </c>
    </row>
    <row r="188">
      <c r="A188" s="2" t="n"/>
      <c r="B188" s="2" t="n"/>
      <c r="C188" s="3" t="n"/>
      <c r="D188" s="2" t="n"/>
      <c r="E188" s="4">
        <f>IF(A188="","",5)</f>
        <v/>
      </c>
      <c r="F188" s="2" t="n"/>
      <c r="G188" s="4" t="n"/>
      <c r="H188" s="2" t="n"/>
      <c r="I188" s="2" t="n"/>
      <c r="J188" s="2">
        <f>IF(C188="","",IF(LEN(C188)&lt;&gt;13,"Nema 13 cifara (ima "&amp;LEN(C188)&amp;")",IF(L188="","JMBG sadrži nešto što nije cifra",IF(N188="","Nepostojeći datum rođenja",IF(VALUE(MID(C188,13,1))&lt;&gt;L188,"Pogrešna kontrolna cifra - treba "&amp;L188,"✓ ispravan")))))</f>
        <v/>
      </c>
      <c r="K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L188">
        <f>IF(K188="","",IF(11-MOD(K188,11)&gt;9,0,11-MOD(K188,11)))</f>
        <v/>
      </c>
      <c r="M188">
        <f>IFERROR(IF(LEN(C188)&lt;&gt;13,"",IF(VALUE(MID(C188,5,3))&gt;=800,1000,2000)+VALUE(MID(C188,5,3))),"")</f>
        <v/>
      </c>
      <c r="N188">
        <f>IFERROR(IF(M188="","",IF(AND(DAY(DATE(M188,VALUE(MID(C188,3,2)),VALUE(MID(C188,1,2))))=VALUE(MID(C188,1,2)),MONTH(DATE(M188,VALUE(MID(C188,3,2)),VALUE(MID(C188,1,2))))=VALUE(MID(C188,3,2))),DATE(M188,VALUE(MID(C188,3,2)),VALUE(MID(C188,1,2))),"")),"")</f>
        <v/>
      </c>
    </row>
    <row r="189">
      <c r="A189" s="2" t="n"/>
      <c r="B189" s="2" t="n"/>
      <c r="C189" s="3" t="n"/>
      <c r="D189" s="2" t="n"/>
      <c r="E189" s="4">
        <f>IF(A189="","",5)</f>
        <v/>
      </c>
      <c r="F189" s="2" t="n"/>
      <c r="G189" s="4" t="n"/>
      <c r="H189" s="2" t="n"/>
      <c r="I189" s="2" t="n"/>
      <c r="J189" s="2">
        <f>IF(C189="","",IF(LEN(C189)&lt;&gt;13,"Nema 13 cifara (ima "&amp;LEN(C189)&amp;")",IF(L189="","JMBG sadrži nešto što nije cifra",IF(N189="","Nepostojeći datum rođenja",IF(VALUE(MID(C189,13,1))&lt;&gt;L189,"Pogrešna kontrolna cifra - treba "&amp;L189,"✓ ispravan")))))</f>
        <v/>
      </c>
      <c r="K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L189">
        <f>IF(K189="","",IF(11-MOD(K189,11)&gt;9,0,11-MOD(K189,11)))</f>
        <v/>
      </c>
      <c r="M189">
        <f>IFERROR(IF(LEN(C189)&lt;&gt;13,"",IF(VALUE(MID(C189,5,3))&gt;=800,1000,2000)+VALUE(MID(C189,5,3))),"")</f>
        <v/>
      </c>
      <c r="N189">
        <f>IFERROR(IF(M189="","",IF(AND(DAY(DATE(M189,VALUE(MID(C189,3,2)),VALUE(MID(C189,1,2))))=VALUE(MID(C189,1,2)),MONTH(DATE(M189,VALUE(MID(C189,3,2)),VALUE(MID(C189,1,2))))=VALUE(MID(C189,3,2))),DATE(M189,VALUE(MID(C189,3,2)),VALUE(MID(C189,1,2))),"")),"")</f>
        <v/>
      </c>
    </row>
    <row r="190">
      <c r="A190" s="2" t="n"/>
      <c r="B190" s="2" t="n"/>
      <c r="C190" s="3" t="n"/>
      <c r="D190" s="2" t="n"/>
      <c r="E190" s="4">
        <f>IF(A190="","",5)</f>
        <v/>
      </c>
      <c r="F190" s="2" t="n"/>
      <c r="G190" s="4" t="n"/>
      <c r="H190" s="2" t="n"/>
      <c r="I190" s="2" t="n"/>
      <c r="J190" s="2">
        <f>IF(C190="","",IF(LEN(C190)&lt;&gt;13,"Nema 13 cifara (ima "&amp;LEN(C190)&amp;")",IF(L190="","JMBG sadrži nešto što nije cifra",IF(N190="","Nepostojeći datum rođenja",IF(VALUE(MID(C190,13,1))&lt;&gt;L190,"Pogrešna kontrolna cifra - treba "&amp;L190,"✓ ispravan")))))</f>
        <v/>
      </c>
      <c r="K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L190">
        <f>IF(K190="","",IF(11-MOD(K190,11)&gt;9,0,11-MOD(K190,11)))</f>
        <v/>
      </c>
      <c r="M190">
        <f>IFERROR(IF(LEN(C190)&lt;&gt;13,"",IF(VALUE(MID(C190,5,3))&gt;=800,1000,2000)+VALUE(MID(C190,5,3))),"")</f>
        <v/>
      </c>
      <c r="N190">
        <f>IFERROR(IF(M190="","",IF(AND(DAY(DATE(M190,VALUE(MID(C190,3,2)),VALUE(MID(C190,1,2))))=VALUE(MID(C190,1,2)),MONTH(DATE(M190,VALUE(MID(C190,3,2)),VALUE(MID(C190,1,2))))=VALUE(MID(C190,3,2))),DATE(M190,VALUE(MID(C190,3,2)),VALUE(MID(C190,1,2))),"")),"")</f>
        <v/>
      </c>
    </row>
    <row r="191">
      <c r="A191" s="2" t="n"/>
      <c r="B191" s="2" t="n"/>
      <c r="C191" s="3" t="n"/>
      <c r="D191" s="2" t="n"/>
      <c r="E191" s="4">
        <f>IF(A191="","",5)</f>
        <v/>
      </c>
      <c r="F191" s="2" t="n"/>
      <c r="G191" s="4" t="n"/>
      <c r="H191" s="2" t="n"/>
      <c r="I191" s="2" t="n"/>
      <c r="J191" s="2">
        <f>IF(C191="","",IF(LEN(C191)&lt;&gt;13,"Nema 13 cifara (ima "&amp;LEN(C191)&amp;")",IF(L191="","JMBG sadrži nešto što nije cifra",IF(N191="","Nepostojeći datum rođenja",IF(VALUE(MID(C191,13,1))&lt;&gt;L191,"Pogrešna kontrolna cifra - treba "&amp;L191,"✓ ispravan")))))</f>
        <v/>
      </c>
      <c r="K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L191">
        <f>IF(K191="","",IF(11-MOD(K191,11)&gt;9,0,11-MOD(K191,11)))</f>
        <v/>
      </c>
      <c r="M191">
        <f>IFERROR(IF(LEN(C191)&lt;&gt;13,"",IF(VALUE(MID(C191,5,3))&gt;=800,1000,2000)+VALUE(MID(C191,5,3))),"")</f>
        <v/>
      </c>
      <c r="N191">
        <f>IFERROR(IF(M191="","",IF(AND(DAY(DATE(M191,VALUE(MID(C191,3,2)),VALUE(MID(C191,1,2))))=VALUE(MID(C191,1,2)),MONTH(DATE(M191,VALUE(MID(C191,3,2)),VALUE(MID(C191,1,2))))=VALUE(MID(C191,3,2))),DATE(M191,VALUE(MID(C191,3,2)),VALUE(MID(C191,1,2))),"")),"")</f>
        <v/>
      </c>
    </row>
    <row r="192">
      <c r="A192" s="2" t="n"/>
      <c r="B192" s="2" t="n"/>
      <c r="C192" s="3" t="n"/>
      <c r="D192" s="2" t="n"/>
      <c r="E192" s="4">
        <f>IF(A192="","",5)</f>
        <v/>
      </c>
      <c r="F192" s="2" t="n"/>
      <c r="G192" s="4" t="n"/>
      <c r="H192" s="2" t="n"/>
      <c r="I192" s="2" t="n"/>
      <c r="J192" s="2">
        <f>IF(C192="","",IF(LEN(C192)&lt;&gt;13,"Nema 13 cifara (ima "&amp;LEN(C192)&amp;")",IF(L192="","JMBG sadrži nešto što nije cifra",IF(N192="","Nepostojeći datum rođenja",IF(VALUE(MID(C192,13,1))&lt;&gt;L192,"Pogrešna kontrolna cifra - treba "&amp;L192,"✓ ispravan")))))</f>
        <v/>
      </c>
      <c r="K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L192">
        <f>IF(K192="","",IF(11-MOD(K192,11)&gt;9,0,11-MOD(K192,11)))</f>
        <v/>
      </c>
      <c r="M192">
        <f>IFERROR(IF(LEN(C192)&lt;&gt;13,"",IF(VALUE(MID(C192,5,3))&gt;=800,1000,2000)+VALUE(MID(C192,5,3))),"")</f>
        <v/>
      </c>
      <c r="N192">
        <f>IFERROR(IF(M192="","",IF(AND(DAY(DATE(M192,VALUE(MID(C192,3,2)),VALUE(MID(C192,1,2))))=VALUE(MID(C192,1,2)),MONTH(DATE(M192,VALUE(MID(C192,3,2)),VALUE(MID(C192,1,2))))=VALUE(MID(C192,3,2))),DATE(M192,VALUE(MID(C192,3,2)),VALUE(MID(C192,1,2))),"")),"")</f>
        <v/>
      </c>
    </row>
    <row r="193">
      <c r="A193" s="2" t="n"/>
      <c r="B193" s="2" t="n"/>
      <c r="C193" s="3" t="n"/>
      <c r="D193" s="2" t="n"/>
      <c r="E193" s="4">
        <f>IF(A193="","",5)</f>
        <v/>
      </c>
      <c r="F193" s="2" t="n"/>
      <c r="G193" s="4" t="n"/>
      <c r="H193" s="2" t="n"/>
      <c r="I193" s="2" t="n"/>
      <c r="J193" s="2">
        <f>IF(C193="","",IF(LEN(C193)&lt;&gt;13,"Nema 13 cifara (ima "&amp;LEN(C193)&amp;")",IF(L193="","JMBG sadrži nešto što nije cifra",IF(N193="","Nepostojeći datum rođenja",IF(VALUE(MID(C193,13,1))&lt;&gt;L193,"Pogrešna kontrolna cifra - treba "&amp;L193,"✓ ispravan")))))</f>
        <v/>
      </c>
      <c r="K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L193">
        <f>IF(K193="","",IF(11-MOD(K193,11)&gt;9,0,11-MOD(K193,11)))</f>
        <v/>
      </c>
      <c r="M193">
        <f>IFERROR(IF(LEN(C193)&lt;&gt;13,"",IF(VALUE(MID(C193,5,3))&gt;=800,1000,2000)+VALUE(MID(C193,5,3))),"")</f>
        <v/>
      </c>
      <c r="N193">
        <f>IFERROR(IF(M193="","",IF(AND(DAY(DATE(M193,VALUE(MID(C193,3,2)),VALUE(MID(C193,1,2))))=VALUE(MID(C193,1,2)),MONTH(DATE(M193,VALUE(MID(C193,3,2)),VALUE(MID(C193,1,2))))=VALUE(MID(C193,3,2))),DATE(M193,VALUE(MID(C193,3,2)),VALUE(MID(C193,1,2))),"")),"")</f>
        <v/>
      </c>
    </row>
    <row r="194">
      <c r="A194" s="2" t="n"/>
      <c r="B194" s="2" t="n"/>
      <c r="C194" s="3" t="n"/>
      <c r="D194" s="2" t="n"/>
      <c r="E194" s="4">
        <f>IF(A194="","",5)</f>
        <v/>
      </c>
      <c r="F194" s="2" t="n"/>
      <c r="G194" s="4" t="n"/>
      <c r="H194" s="2" t="n"/>
      <c r="I194" s="2" t="n"/>
      <c r="J194" s="2">
        <f>IF(C194="","",IF(LEN(C194)&lt;&gt;13,"Nema 13 cifara (ima "&amp;LEN(C194)&amp;")",IF(L194="","JMBG sadrži nešto što nije cifra",IF(N194="","Nepostojeći datum rođenja",IF(VALUE(MID(C194,13,1))&lt;&gt;L194,"Pogrešna kontrolna cifra - treba "&amp;L194,"✓ ispravan")))))</f>
        <v/>
      </c>
      <c r="K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L194">
        <f>IF(K194="","",IF(11-MOD(K194,11)&gt;9,0,11-MOD(K194,11)))</f>
        <v/>
      </c>
      <c r="M194">
        <f>IFERROR(IF(LEN(C194)&lt;&gt;13,"",IF(VALUE(MID(C194,5,3))&gt;=800,1000,2000)+VALUE(MID(C194,5,3))),"")</f>
        <v/>
      </c>
      <c r="N194">
        <f>IFERROR(IF(M194="","",IF(AND(DAY(DATE(M194,VALUE(MID(C194,3,2)),VALUE(MID(C194,1,2))))=VALUE(MID(C194,1,2)),MONTH(DATE(M194,VALUE(MID(C194,3,2)),VALUE(MID(C194,1,2))))=VALUE(MID(C194,3,2))),DATE(M194,VALUE(MID(C194,3,2)),VALUE(MID(C194,1,2))),"")),"")</f>
        <v/>
      </c>
    </row>
    <row r="195">
      <c r="A195" s="2" t="n"/>
      <c r="B195" s="2" t="n"/>
      <c r="C195" s="3" t="n"/>
      <c r="D195" s="2" t="n"/>
      <c r="E195" s="4">
        <f>IF(A195="","",5)</f>
        <v/>
      </c>
      <c r="F195" s="2" t="n"/>
      <c r="G195" s="4" t="n"/>
      <c r="H195" s="2" t="n"/>
      <c r="I195" s="2" t="n"/>
      <c r="J195" s="2">
        <f>IF(C195="","",IF(LEN(C195)&lt;&gt;13,"Nema 13 cifara (ima "&amp;LEN(C195)&amp;")",IF(L195="","JMBG sadrži nešto što nije cifra",IF(N195="","Nepostojeći datum rođenja",IF(VALUE(MID(C195,13,1))&lt;&gt;L195,"Pogrešna kontrolna cifra - treba "&amp;L195,"✓ ispravan")))))</f>
        <v/>
      </c>
      <c r="K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L195">
        <f>IF(K195="","",IF(11-MOD(K195,11)&gt;9,0,11-MOD(K195,11)))</f>
        <v/>
      </c>
      <c r="M195">
        <f>IFERROR(IF(LEN(C195)&lt;&gt;13,"",IF(VALUE(MID(C195,5,3))&gt;=800,1000,2000)+VALUE(MID(C195,5,3))),"")</f>
        <v/>
      </c>
      <c r="N195">
        <f>IFERROR(IF(M195="","",IF(AND(DAY(DATE(M195,VALUE(MID(C195,3,2)),VALUE(MID(C195,1,2))))=VALUE(MID(C195,1,2)),MONTH(DATE(M195,VALUE(MID(C195,3,2)),VALUE(MID(C195,1,2))))=VALUE(MID(C195,3,2))),DATE(M195,VALUE(MID(C195,3,2)),VALUE(MID(C195,1,2))),"")),"")</f>
        <v/>
      </c>
    </row>
    <row r="196">
      <c r="A196" s="2" t="n"/>
      <c r="B196" s="2" t="n"/>
      <c r="C196" s="3" t="n"/>
      <c r="D196" s="2" t="n"/>
      <c r="E196" s="4">
        <f>IF(A196="","",5)</f>
        <v/>
      </c>
      <c r="F196" s="2" t="n"/>
      <c r="G196" s="4" t="n"/>
      <c r="H196" s="2" t="n"/>
      <c r="I196" s="2" t="n"/>
      <c r="J196" s="2">
        <f>IF(C196="","",IF(LEN(C196)&lt;&gt;13,"Nema 13 cifara (ima "&amp;LEN(C196)&amp;")",IF(L196="","JMBG sadrži nešto što nije cifra",IF(N196="","Nepostojeći datum rođenja",IF(VALUE(MID(C196,13,1))&lt;&gt;L196,"Pogrešna kontrolna cifra - treba "&amp;L196,"✓ ispravan")))))</f>
        <v/>
      </c>
      <c r="K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L196">
        <f>IF(K196="","",IF(11-MOD(K196,11)&gt;9,0,11-MOD(K196,11)))</f>
        <v/>
      </c>
      <c r="M196">
        <f>IFERROR(IF(LEN(C196)&lt;&gt;13,"",IF(VALUE(MID(C196,5,3))&gt;=800,1000,2000)+VALUE(MID(C196,5,3))),"")</f>
        <v/>
      </c>
      <c r="N196">
        <f>IFERROR(IF(M196="","",IF(AND(DAY(DATE(M196,VALUE(MID(C196,3,2)),VALUE(MID(C196,1,2))))=VALUE(MID(C196,1,2)),MONTH(DATE(M196,VALUE(MID(C196,3,2)),VALUE(MID(C196,1,2))))=VALUE(MID(C196,3,2))),DATE(M196,VALUE(MID(C196,3,2)),VALUE(MID(C196,1,2))),"")),"")</f>
        <v/>
      </c>
    </row>
    <row r="197">
      <c r="A197" s="2" t="n"/>
      <c r="B197" s="2" t="n"/>
      <c r="C197" s="3" t="n"/>
      <c r="D197" s="2" t="n"/>
      <c r="E197" s="4">
        <f>IF(A197="","",5)</f>
        <v/>
      </c>
      <c r="F197" s="2" t="n"/>
      <c r="G197" s="4" t="n"/>
      <c r="H197" s="2" t="n"/>
      <c r="I197" s="2" t="n"/>
      <c r="J197" s="2">
        <f>IF(C197="","",IF(LEN(C197)&lt;&gt;13,"Nema 13 cifara (ima "&amp;LEN(C197)&amp;")",IF(L197="","JMBG sadrži nešto što nije cifra",IF(N197="","Nepostojeći datum rođenja",IF(VALUE(MID(C197,13,1))&lt;&gt;L197,"Pogrešna kontrolna cifra - treba "&amp;L197,"✓ ispravan")))))</f>
        <v/>
      </c>
      <c r="K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L197">
        <f>IF(K197="","",IF(11-MOD(K197,11)&gt;9,0,11-MOD(K197,11)))</f>
        <v/>
      </c>
      <c r="M197">
        <f>IFERROR(IF(LEN(C197)&lt;&gt;13,"",IF(VALUE(MID(C197,5,3))&gt;=800,1000,2000)+VALUE(MID(C197,5,3))),"")</f>
        <v/>
      </c>
      <c r="N197">
        <f>IFERROR(IF(M197="","",IF(AND(DAY(DATE(M197,VALUE(MID(C197,3,2)),VALUE(MID(C197,1,2))))=VALUE(MID(C197,1,2)),MONTH(DATE(M197,VALUE(MID(C197,3,2)),VALUE(MID(C197,1,2))))=VALUE(MID(C197,3,2))),DATE(M197,VALUE(MID(C197,3,2)),VALUE(MID(C197,1,2))),"")),"")</f>
        <v/>
      </c>
    </row>
    <row r="198">
      <c r="A198" s="2" t="n"/>
      <c r="B198" s="2" t="n"/>
      <c r="C198" s="3" t="n"/>
      <c r="D198" s="2" t="n"/>
      <c r="E198" s="4">
        <f>IF(A198="","",5)</f>
        <v/>
      </c>
      <c r="F198" s="2" t="n"/>
      <c r="G198" s="4" t="n"/>
      <c r="H198" s="2" t="n"/>
      <c r="I198" s="2" t="n"/>
      <c r="J198" s="2">
        <f>IF(C198="","",IF(LEN(C198)&lt;&gt;13,"Nema 13 cifara (ima "&amp;LEN(C198)&amp;")",IF(L198="","JMBG sadrži nešto što nije cifra",IF(N198="","Nepostojeći datum rođenja",IF(VALUE(MID(C198,13,1))&lt;&gt;L198,"Pogrešna kontrolna cifra - treba "&amp;L198,"✓ ispravan")))))</f>
        <v/>
      </c>
      <c r="K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L198">
        <f>IF(K198="","",IF(11-MOD(K198,11)&gt;9,0,11-MOD(K198,11)))</f>
        <v/>
      </c>
      <c r="M198">
        <f>IFERROR(IF(LEN(C198)&lt;&gt;13,"",IF(VALUE(MID(C198,5,3))&gt;=800,1000,2000)+VALUE(MID(C198,5,3))),"")</f>
        <v/>
      </c>
      <c r="N198">
        <f>IFERROR(IF(M198="","",IF(AND(DAY(DATE(M198,VALUE(MID(C198,3,2)),VALUE(MID(C198,1,2))))=VALUE(MID(C198,1,2)),MONTH(DATE(M198,VALUE(MID(C198,3,2)),VALUE(MID(C198,1,2))))=VALUE(MID(C198,3,2))),DATE(M198,VALUE(MID(C198,3,2)),VALUE(MID(C198,1,2))),"")),"")</f>
        <v/>
      </c>
    </row>
    <row r="199">
      <c r="A199" s="2" t="n"/>
      <c r="B199" s="2" t="n"/>
      <c r="C199" s="3" t="n"/>
      <c r="D199" s="2" t="n"/>
      <c r="E199" s="4">
        <f>IF(A199="","",5)</f>
        <v/>
      </c>
      <c r="F199" s="2" t="n"/>
      <c r="G199" s="4" t="n"/>
      <c r="H199" s="2" t="n"/>
      <c r="I199" s="2" t="n"/>
      <c r="J199" s="2">
        <f>IF(C199="","",IF(LEN(C199)&lt;&gt;13,"Nema 13 cifara (ima "&amp;LEN(C199)&amp;")",IF(L199="","JMBG sadrži nešto što nije cifra",IF(N199="","Nepostojeći datum rođenja",IF(VALUE(MID(C199,13,1))&lt;&gt;L199,"Pogrešna kontrolna cifra - treba "&amp;L199,"✓ ispravan")))))</f>
        <v/>
      </c>
      <c r="K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L199">
        <f>IF(K199="","",IF(11-MOD(K199,11)&gt;9,0,11-MOD(K199,11)))</f>
        <v/>
      </c>
      <c r="M199">
        <f>IFERROR(IF(LEN(C199)&lt;&gt;13,"",IF(VALUE(MID(C199,5,3))&gt;=800,1000,2000)+VALUE(MID(C199,5,3))),"")</f>
        <v/>
      </c>
      <c r="N199">
        <f>IFERROR(IF(M199="","",IF(AND(DAY(DATE(M199,VALUE(MID(C199,3,2)),VALUE(MID(C199,1,2))))=VALUE(MID(C199,1,2)),MONTH(DATE(M199,VALUE(MID(C199,3,2)),VALUE(MID(C199,1,2))))=VALUE(MID(C199,3,2))),DATE(M199,VALUE(MID(C199,3,2)),VALUE(MID(C199,1,2))),"")),"")</f>
        <v/>
      </c>
    </row>
    <row r="200">
      <c r="A200" s="2" t="n"/>
      <c r="B200" s="2" t="n"/>
      <c r="C200" s="3" t="n"/>
      <c r="D200" s="2" t="n"/>
      <c r="E200" s="4">
        <f>IF(A200="","",5)</f>
        <v/>
      </c>
      <c r="F200" s="2" t="n"/>
      <c r="G200" s="4" t="n"/>
      <c r="H200" s="2" t="n"/>
      <c r="I200" s="2" t="n"/>
      <c r="J200" s="2">
        <f>IF(C200="","",IF(LEN(C200)&lt;&gt;13,"Nema 13 cifara (ima "&amp;LEN(C200)&amp;")",IF(L200="","JMBG sadrži nešto što nije cifra",IF(N200="","Nepostojeći datum rođenja",IF(VALUE(MID(C200,13,1))&lt;&gt;L200,"Pogrešna kontrolna cifra - treba "&amp;L200,"✓ ispravan")))))</f>
        <v/>
      </c>
      <c r="K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L200">
        <f>IF(K200="","",IF(11-MOD(K200,11)&gt;9,0,11-MOD(K200,11)))</f>
        <v/>
      </c>
      <c r="M200">
        <f>IFERROR(IF(LEN(C200)&lt;&gt;13,"",IF(VALUE(MID(C200,5,3))&gt;=800,1000,2000)+VALUE(MID(C200,5,3))),"")</f>
        <v/>
      </c>
      <c r="N200">
        <f>IFERROR(IF(M200="","",IF(AND(DAY(DATE(M200,VALUE(MID(C200,3,2)),VALUE(MID(C200,1,2))))=VALUE(MID(C200,1,2)),MONTH(DATE(M200,VALUE(MID(C200,3,2)),VALUE(MID(C200,1,2))))=VALUE(MID(C200,3,2))),DATE(M200,VALUE(MID(C200,3,2)),VALUE(MID(C200,1,2))),"")),"")</f>
        <v/>
      </c>
    </row>
    <row r="201">
      <c r="A201" s="2" t="n"/>
      <c r="B201" s="2" t="n"/>
      <c r="C201" s="3" t="n"/>
      <c r="D201" s="2" t="n"/>
      <c r="E201" s="4">
        <f>IF(A201="","",5)</f>
        <v/>
      </c>
      <c r="F201" s="2" t="n"/>
      <c r="G201" s="4" t="n"/>
      <c r="H201" s="2" t="n"/>
      <c r="I201" s="2" t="n"/>
      <c r="J201" s="2">
        <f>IF(C201="","",IF(LEN(C201)&lt;&gt;13,"Nema 13 cifara (ima "&amp;LEN(C201)&amp;")",IF(L201="","JMBG sadrži nešto što nije cifra",IF(N201="","Nepostojeći datum rođenja",IF(VALUE(MID(C201,13,1))&lt;&gt;L201,"Pogrešna kontrolna cifra - treba "&amp;L201,"✓ ispravan")))))</f>
        <v/>
      </c>
      <c r="K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L201">
        <f>IF(K201="","",IF(11-MOD(K201,11)&gt;9,0,11-MOD(K201,11)))</f>
        <v/>
      </c>
      <c r="M201">
        <f>IFERROR(IF(LEN(C201)&lt;&gt;13,"",IF(VALUE(MID(C201,5,3))&gt;=800,1000,2000)+VALUE(MID(C201,5,3))),"")</f>
        <v/>
      </c>
      <c r="N201">
        <f>IFERROR(IF(M201="","",IF(AND(DAY(DATE(M201,VALUE(MID(C201,3,2)),VALUE(MID(C201,1,2))))=VALUE(MID(C201,1,2)),MONTH(DATE(M201,VALUE(MID(C201,3,2)),VALUE(MID(C201,1,2))))=VALUE(MID(C201,3,2))),DATE(M201,VALUE(MID(C201,3,2)),VALUE(MID(C201,1,2))),"")),"")</f>
        <v/>
      </c>
    </row>
  </sheetData>
  <autoFilter ref="A1:J201"/>
  <conditionalFormatting sqref="J2:J201">
    <cfRule type="expression" priority="1" dxfId="0" stopIfTrue="1">
      <formula>LEFT($J2,1)="✓"</formula>
    </cfRule>
    <cfRule type="expression" priority="2" dxfId="1">
      <formula>$J2&lt;&gt;""</formula>
    </cfRule>
  </conditionalFormatting>
  <conditionalFormatting sqref="G2:G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F201">
    <cfRule type="expression" priority="7" dxfId="3">
      <formula>$G2="GREŠKA"</formula>
    </cfRule>
    <cfRule type="expression" priority="8" dxfId="2">
      <formula>$G2="OK"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8" customWidth="1" min="11" max="14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Dolazak</t>
        </is>
      </c>
      <c r="E1" s="1" t="inlineStr">
        <is>
          <t>Dana</t>
        </is>
      </c>
      <c r="F1" s="1" t="inlineStr">
        <is>
          <t>E-mail</t>
        </is>
      </c>
      <c r="G1" s="1" t="inlineStr">
        <is>
          <t>STATUS</t>
        </is>
      </c>
      <c r="H1" s="1" t="inlineStr">
        <is>
          <t>RAZLOG</t>
        </is>
      </c>
      <c r="I1" s="1" t="inlineStr">
        <is>
          <t>PDF</t>
        </is>
      </c>
      <c r="J1" s="1" t="inlineStr">
        <is>
          <t>PROVERA JMBG</t>
        </is>
      </c>
      <c r="K1" s="1" t="inlineStr">
        <is>
          <t>zbir</t>
        </is>
      </c>
      <c r="L1" s="1" t="inlineStr">
        <is>
          <t>kontrolna</t>
        </is>
      </c>
      <c r="M1" s="1" t="inlineStr">
        <is>
          <t>godina</t>
        </is>
      </c>
      <c r="N1" s="1" t="inlineStr">
        <is>
          <t>dat.rođ.</t>
        </is>
      </c>
    </row>
    <row r="2">
      <c r="A2" s="2" t="n"/>
      <c r="B2" s="2" t="n"/>
      <c r="C2" s="3" t="n"/>
      <c r="D2" s="2" t="n"/>
      <c r="E2" s="4">
        <f>IF(A2="","",5)</f>
        <v/>
      </c>
      <c r="F2" s="2" t="n"/>
      <c r="G2" s="4" t="n"/>
      <c r="H2" s="2" t="n"/>
      <c r="I2" s="2" t="n"/>
      <c r="J2" s="2">
        <f>IF(C2="","",IF(LEN(C2)&lt;&gt;13,"Nema 13 cifara (ima "&amp;LEN(C2)&amp;")",IF(L2="","JMBG sadrži nešto što nije cifra",IF(N2="","Nepostojeći datum rođenja",IF(VALUE(MID(C2,13,1))&lt;&gt;L2,"Pogrešna kontrolna cifra - treba "&amp;L2,"✓ ispravan")))))</f>
        <v/>
      </c>
      <c r="K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L2">
        <f>IF(K2="","",IF(11-MOD(K2,11)&gt;9,0,11-MOD(K2,11)))</f>
        <v/>
      </c>
      <c r="M2">
        <f>IFERROR(IF(LEN(C2)&lt;&gt;13,"",IF(VALUE(MID(C2,5,3))&gt;=800,1000,2000)+VALUE(MID(C2,5,3))),"")</f>
        <v/>
      </c>
      <c r="N2">
        <f>IFERROR(IF(M2="","",IF(AND(DAY(DATE(M2,VALUE(MID(C2,3,2)),VALUE(MID(C2,1,2))))=VALUE(MID(C2,1,2)),MONTH(DATE(M2,VALUE(MID(C2,3,2)),VALUE(MID(C2,1,2))))=VALUE(MID(C2,3,2))),DATE(M2,VALUE(MID(C2,3,2)),VALUE(MID(C2,1,2))),"")),"")</f>
        <v/>
      </c>
    </row>
    <row r="3">
      <c r="A3" s="2" t="n"/>
      <c r="B3" s="2" t="n"/>
      <c r="C3" s="3" t="n"/>
      <c r="D3" s="2" t="n"/>
      <c r="E3" s="4">
        <f>IF(A3="","",5)</f>
        <v/>
      </c>
      <c r="F3" s="2" t="n"/>
      <c r="G3" s="4" t="n"/>
      <c r="H3" s="2" t="n"/>
      <c r="I3" s="2" t="n"/>
      <c r="J3" s="2">
        <f>IF(C3="","",IF(LEN(C3)&lt;&gt;13,"Nema 13 cifara (ima "&amp;LEN(C3)&amp;")",IF(L3="","JMBG sadrži nešto što nije cifra",IF(N3="","Nepostojeći datum rođenja",IF(VALUE(MID(C3,13,1))&lt;&gt;L3,"Pogrešna kontrolna cifra - treba "&amp;L3,"✓ ispravan")))))</f>
        <v/>
      </c>
      <c r="K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L3">
        <f>IF(K3="","",IF(11-MOD(K3,11)&gt;9,0,11-MOD(K3,11)))</f>
        <v/>
      </c>
      <c r="M3">
        <f>IFERROR(IF(LEN(C3)&lt;&gt;13,"",IF(VALUE(MID(C3,5,3))&gt;=800,1000,2000)+VALUE(MID(C3,5,3))),"")</f>
        <v/>
      </c>
      <c r="N3">
        <f>IFERROR(IF(M3="","",IF(AND(DAY(DATE(M3,VALUE(MID(C3,3,2)),VALUE(MID(C3,1,2))))=VALUE(MID(C3,1,2)),MONTH(DATE(M3,VALUE(MID(C3,3,2)),VALUE(MID(C3,1,2))))=VALUE(MID(C3,3,2))),DATE(M3,VALUE(MID(C3,3,2)),VALUE(MID(C3,1,2))),"")),"")</f>
        <v/>
      </c>
    </row>
    <row r="4">
      <c r="A4" s="2" t="n"/>
      <c r="B4" s="2" t="n"/>
      <c r="C4" s="3" t="n"/>
      <c r="D4" s="2" t="n"/>
      <c r="E4" s="4">
        <f>IF(A4="","",5)</f>
        <v/>
      </c>
      <c r="F4" s="2" t="n"/>
      <c r="G4" s="4" t="n"/>
      <c r="H4" s="2" t="n"/>
      <c r="I4" s="2" t="n"/>
      <c r="J4" s="2">
        <f>IF(C4="","",IF(LEN(C4)&lt;&gt;13,"Nema 13 cifara (ima "&amp;LEN(C4)&amp;")",IF(L4="","JMBG sadrži nešto što nije cifra",IF(N4="","Nepostojeći datum rođenja",IF(VALUE(MID(C4,13,1))&lt;&gt;L4,"Pogrešna kontrolna cifra - treba "&amp;L4,"✓ ispravan")))))</f>
        <v/>
      </c>
      <c r="K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L4">
        <f>IF(K4="","",IF(11-MOD(K4,11)&gt;9,0,11-MOD(K4,11)))</f>
        <v/>
      </c>
      <c r="M4">
        <f>IFERROR(IF(LEN(C4)&lt;&gt;13,"",IF(VALUE(MID(C4,5,3))&gt;=800,1000,2000)+VALUE(MID(C4,5,3))),"")</f>
        <v/>
      </c>
      <c r="N4">
        <f>IFERROR(IF(M4="","",IF(AND(DAY(DATE(M4,VALUE(MID(C4,3,2)),VALUE(MID(C4,1,2))))=VALUE(MID(C4,1,2)),MONTH(DATE(M4,VALUE(MID(C4,3,2)),VALUE(MID(C4,1,2))))=VALUE(MID(C4,3,2))),DATE(M4,VALUE(MID(C4,3,2)),VALUE(MID(C4,1,2))),"")),"")</f>
        <v/>
      </c>
    </row>
    <row r="5">
      <c r="A5" s="2" t="n"/>
      <c r="B5" s="2" t="n"/>
      <c r="C5" s="3" t="n"/>
      <c r="D5" s="2" t="n"/>
      <c r="E5" s="4">
        <f>IF(A5="","",5)</f>
        <v/>
      </c>
      <c r="F5" s="2" t="n"/>
      <c r="G5" s="4" t="n"/>
      <c r="H5" s="2" t="n"/>
      <c r="I5" s="2" t="n"/>
      <c r="J5" s="2">
        <f>IF(C5="","",IF(LEN(C5)&lt;&gt;13,"Nema 13 cifara (ima "&amp;LEN(C5)&amp;")",IF(L5="","JMBG sadrži nešto što nije cifra",IF(N5="","Nepostojeći datum rođenja",IF(VALUE(MID(C5,13,1))&lt;&gt;L5,"Pogrešna kontrolna cifra - treba "&amp;L5,"✓ ispravan")))))</f>
        <v/>
      </c>
      <c r="K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L5">
        <f>IF(K5="","",IF(11-MOD(K5,11)&gt;9,0,11-MOD(K5,11)))</f>
        <v/>
      </c>
      <c r="M5">
        <f>IFERROR(IF(LEN(C5)&lt;&gt;13,"",IF(VALUE(MID(C5,5,3))&gt;=800,1000,2000)+VALUE(MID(C5,5,3))),"")</f>
        <v/>
      </c>
      <c r="N5">
        <f>IFERROR(IF(M5="","",IF(AND(DAY(DATE(M5,VALUE(MID(C5,3,2)),VALUE(MID(C5,1,2))))=VALUE(MID(C5,1,2)),MONTH(DATE(M5,VALUE(MID(C5,3,2)),VALUE(MID(C5,1,2))))=VALUE(MID(C5,3,2))),DATE(M5,VALUE(MID(C5,3,2)),VALUE(MID(C5,1,2))),"")),"")</f>
        <v/>
      </c>
    </row>
    <row r="6">
      <c r="A6" s="2" t="n"/>
      <c r="B6" s="2" t="n"/>
      <c r="C6" s="3" t="n"/>
      <c r="D6" s="2" t="n"/>
      <c r="E6" s="4">
        <f>IF(A6="","",5)</f>
        <v/>
      </c>
      <c r="F6" s="2" t="n"/>
      <c r="G6" s="4" t="n"/>
      <c r="H6" s="2" t="n"/>
      <c r="I6" s="2" t="n"/>
      <c r="J6" s="2">
        <f>IF(C6="","",IF(LEN(C6)&lt;&gt;13,"Nema 13 cifara (ima "&amp;LEN(C6)&amp;")",IF(L6="","JMBG sadrži nešto što nije cifra",IF(N6="","Nepostojeći datum rođenja",IF(VALUE(MID(C6,13,1))&lt;&gt;L6,"Pogrešna kontrolna cifra - treba "&amp;L6,"✓ ispravan")))))</f>
        <v/>
      </c>
      <c r="K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L6">
        <f>IF(K6="","",IF(11-MOD(K6,11)&gt;9,0,11-MOD(K6,11)))</f>
        <v/>
      </c>
      <c r="M6">
        <f>IFERROR(IF(LEN(C6)&lt;&gt;13,"",IF(VALUE(MID(C6,5,3))&gt;=800,1000,2000)+VALUE(MID(C6,5,3))),"")</f>
        <v/>
      </c>
      <c r="N6">
        <f>IFERROR(IF(M6="","",IF(AND(DAY(DATE(M6,VALUE(MID(C6,3,2)),VALUE(MID(C6,1,2))))=VALUE(MID(C6,1,2)),MONTH(DATE(M6,VALUE(MID(C6,3,2)),VALUE(MID(C6,1,2))))=VALUE(MID(C6,3,2))),DATE(M6,VALUE(MID(C6,3,2)),VALUE(MID(C6,1,2))),"")),"")</f>
        <v/>
      </c>
    </row>
    <row r="7">
      <c r="A7" s="2" t="n"/>
      <c r="B7" s="2" t="n"/>
      <c r="C7" s="3" t="n"/>
      <c r="D7" s="2" t="n"/>
      <c r="E7" s="4">
        <f>IF(A7="","",5)</f>
        <v/>
      </c>
      <c r="F7" s="2" t="n"/>
      <c r="G7" s="4" t="n"/>
      <c r="H7" s="2" t="n"/>
      <c r="I7" s="2" t="n"/>
      <c r="J7" s="2">
        <f>IF(C7="","",IF(LEN(C7)&lt;&gt;13,"Nema 13 cifara (ima "&amp;LEN(C7)&amp;")",IF(L7="","JMBG sadrži nešto što nije cifra",IF(N7="","Nepostojeći datum rođenja",IF(VALUE(MID(C7,13,1))&lt;&gt;L7,"Pogrešna kontrolna cifra - treba "&amp;L7,"✓ ispravan")))))</f>
        <v/>
      </c>
      <c r="K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L7">
        <f>IF(K7="","",IF(11-MOD(K7,11)&gt;9,0,11-MOD(K7,11)))</f>
        <v/>
      </c>
      <c r="M7">
        <f>IFERROR(IF(LEN(C7)&lt;&gt;13,"",IF(VALUE(MID(C7,5,3))&gt;=800,1000,2000)+VALUE(MID(C7,5,3))),"")</f>
        <v/>
      </c>
      <c r="N7">
        <f>IFERROR(IF(M7="","",IF(AND(DAY(DATE(M7,VALUE(MID(C7,3,2)),VALUE(MID(C7,1,2))))=VALUE(MID(C7,1,2)),MONTH(DATE(M7,VALUE(MID(C7,3,2)),VALUE(MID(C7,1,2))))=VALUE(MID(C7,3,2))),DATE(M7,VALUE(MID(C7,3,2)),VALUE(MID(C7,1,2))),"")),"")</f>
        <v/>
      </c>
    </row>
    <row r="8">
      <c r="A8" s="2" t="n"/>
      <c r="B8" s="2" t="n"/>
      <c r="C8" s="3" t="n"/>
      <c r="D8" s="2" t="n"/>
      <c r="E8" s="4">
        <f>IF(A8="","",5)</f>
        <v/>
      </c>
      <c r="F8" s="2" t="n"/>
      <c r="G8" s="4" t="n"/>
      <c r="H8" s="2" t="n"/>
      <c r="I8" s="2" t="n"/>
      <c r="J8" s="2">
        <f>IF(C8="","",IF(LEN(C8)&lt;&gt;13,"Nema 13 cifara (ima "&amp;LEN(C8)&amp;")",IF(L8="","JMBG sadrži nešto što nije cifra",IF(N8="","Nepostojeći datum rođenja",IF(VALUE(MID(C8,13,1))&lt;&gt;L8,"Pogrešna kontrolna cifra - treba "&amp;L8,"✓ ispravan")))))</f>
        <v/>
      </c>
      <c r="K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L8">
        <f>IF(K8="","",IF(11-MOD(K8,11)&gt;9,0,11-MOD(K8,11)))</f>
        <v/>
      </c>
      <c r="M8">
        <f>IFERROR(IF(LEN(C8)&lt;&gt;13,"",IF(VALUE(MID(C8,5,3))&gt;=800,1000,2000)+VALUE(MID(C8,5,3))),"")</f>
        <v/>
      </c>
      <c r="N8">
        <f>IFERROR(IF(M8="","",IF(AND(DAY(DATE(M8,VALUE(MID(C8,3,2)),VALUE(MID(C8,1,2))))=VALUE(MID(C8,1,2)),MONTH(DATE(M8,VALUE(MID(C8,3,2)),VALUE(MID(C8,1,2))))=VALUE(MID(C8,3,2))),DATE(M8,VALUE(MID(C8,3,2)),VALUE(MID(C8,1,2))),"")),"")</f>
        <v/>
      </c>
    </row>
    <row r="9">
      <c r="A9" s="2" t="n"/>
      <c r="B9" s="2" t="n"/>
      <c r="C9" s="3" t="n"/>
      <c r="D9" s="2" t="n"/>
      <c r="E9" s="4">
        <f>IF(A9="","",5)</f>
        <v/>
      </c>
      <c r="F9" s="2" t="n"/>
      <c r="G9" s="4" t="n"/>
      <c r="H9" s="2" t="n"/>
      <c r="I9" s="2" t="n"/>
      <c r="J9" s="2">
        <f>IF(C9="","",IF(LEN(C9)&lt;&gt;13,"Nema 13 cifara (ima "&amp;LEN(C9)&amp;")",IF(L9="","JMBG sadrži nešto što nije cifra",IF(N9="","Nepostojeći datum rođenja",IF(VALUE(MID(C9,13,1))&lt;&gt;L9,"Pogrešna kontrolna cifra - treba "&amp;L9,"✓ ispravan")))))</f>
        <v/>
      </c>
      <c r="K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L9">
        <f>IF(K9="","",IF(11-MOD(K9,11)&gt;9,0,11-MOD(K9,11)))</f>
        <v/>
      </c>
      <c r="M9">
        <f>IFERROR(IF(LEN(C9)&lt;&gt;13,"",IF(VALUE(MID(C9,5,3))&gt;=800,1000,2000)+VALUE(MID(C9,5,3))),"")</f>
        <v/>
      </c>
      <c r="N9">
        <f>IFERROR(IF(M9="","",IF(AND(DAY(DATE(M9,VALUE(MID(C9,3,2)),VALUE(MID(C9,1,2))))=VALUE(MID(C9,1,2)),MONTH(DATE(M9,VALUE(MID(C9,3,2)),VALUE(MID(C9,1,2))))=VALUE(MID(C9,3,2))),DATE(M9,VALUE(MID(C9,3,2)),VALUE(MID(C9,1,2))),"")),"")</f>
        <v/>
      </c>
    </row>
    <row r="10">
      <c r="A10" s="2" t="n"/>
      <c r="B10" s="2" t="n"/>
      <c r="C10" s="3" t="n"/>
      <c r="D10" s="2" t="n"/>
      <c r="E10" s="4">
        <f>IF(A10="","",5)</f>
        <v/>
      </c>
      <c r="F10" s="2" t="n"/>
      <c r="G10" s="4" t="n"/>
      <c r="H10" s="2" t="n"/>
      <c r="I10" s="2" t="n"/>
      <c r="J10" s="2">
        <f>IF(C10="","",IF(LEN(C10)&lt;&gt;13,"Nema 13 cifara (ima "&amp;LEN(C10)&amp;")",IF(L10="","JMBG sadrži nešto što nije cifra",IF(N10="","Nepostojeći datum rođenja",IF(VALUE(MID(C10,13,1))&lt;&gt;L10,"Pogrešna kontrolna cifra - treba "&amp;L10,"✓ ispravan")))))</f>
        <v/>
      </c>
      <c r="K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L10">
        <f>IF(K10="","",IF(11-MOD(K10,11)&gt;9,0,11-MOD(K10,11)))</f>
        <v/>
      </c>
      <c r="M10">
        <f>IFERROR(IF(LEN(C10)&lt;&gt;13,"",IF(VALUE(MID(C10,5,3))&gt;=800,1000,2000)+VALUE(MID(C10,5,3))),"")</f>
        <v/>
      </c>
      <c r="N10">
        <f>IFERROR(IF(M10="","",IF(AND(DAY(DATE(M10,VALUE(MID(C10,3,2)),VALUE(MID(C10,1,2))))=VALUE(MID(C10,1,2)),MONTH(DATE(M10,VALUE(MID(C10,3,2)),VALUE(MID(C10,1,2))))=VALUE(MID(C10,3,2))),DATE(M10,VALUE(MID(C10,3,2)),VALUE(MID(C10,1,2))),"")),"")</f>
        <v/>
      </c>
    </row>
    <row r="11">
      <c r="A11" s="2" t="n"/>
      <c r="B11" s="2" t="n"/>
      <c r="C11" s="3" t="n"/>
      <c r="D11" s="2" t="n"/>
      <c r="E11" s="4">
        <f>IF(A11="","",5)</f>
        <v/>
      </c>
      <c r="F11" s="2" t="n"/>
      <c r="G11" s="4" t="n"/>
      <c r="H11" s="2" t="n"/>
      <c r="I11" s="2" t="n"/>
      <c r="J11" s="2">
        <f>IF(C11="","",IF(LEN(C11)&lt;&gt;13,"Nema 13 cifara (ima "&amp;LEN(C11)&amp;")",IF(L11="","JMBG sadrži nešto što nije cifra",IF(N11="","Nepostojeći datum rođenja",IF(VALUE(MID(C11,13,1))&lt;&gt;L11,"Pogrešna kontrolna cifra - treba "&amp;L11,"✓ ispravan")))))</f>
        <v/>
      </c>
      <c r="K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L11">
        <f>IF(K11="","",IF(11-MOD(K11,11)&gt;9,0,11-MOD(K11,11)))</f>
        <v/>
      </c>
      <c r="M11">
        <f>IFERROR(IF(LEN(C11)&lt;&gt;13,"",IF(VALUE(MID(C11,5,3))&gt;=800,1000,2000)+VALUE(MID(C11,5,3))),"")</f>
        <v/>
      </c>
      <c r="N11">
        <f>IFERROR(IF(M11="","",IF(AND(DAY(DATE(M11,VALUE(MID(C11,3,2)),VALUE(MID(C11,1,2))))=VALUE(MID(C11,1,2)),MONTH(DATE(M11,VALUE(MID(C11,3,2)),VALUE(MID(C11,1,2))))=VALUE(MID(C11,3,2))),DATE(M11,VALUE(MID(C11,3,2)),VALUE(MID(C11,1,2))),"")),"")</f>
        <v/>
      </c>
    </row>
    <row r="12">
      <c r="A12" s="2" t="n"/>
      <c r="B12" s="2" t="n"/>
      <c r="C12" s="3" t="n"/>
      <c r="D12" s="2" t="n"/>
      <c r="E12" s="4">
        <f>IF(A12="","",5)</f>
        <v/>
      </c>
      <c r="F12" s="2" t="n"/>
      <c r="G12" s="4" t="n"/>
      <c r="H12" s="2" t="n"/>
      <c r="I12" s="2" t="n"/>
      <c r="J12" s="2">
        <f>IF(C12="","",IF(LEN(C12)&lt;&gt;13,"Nema 13 cifara (ima "&amp;LEN(C12)&amp;")",IF(L12="","JMBG sadrži nešto što nije cifra",IF(N12="","Nepostojeći datum rođenja",IF(VALUE(MID(C12,13,1))&lt;&gt;L12,"Pogrešna kontrolna cifra - treba "&amp;L12,"✓ ispravan")))))</f>
        <v/>
      </c>
      <c r="K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L12">
        <f>IF(K12="","",IF(11-MOD(K12,11)&gt;9,0,11-MOD(K12,11)))</f>
        <v/>
      </c>
      <c r="M12">
        <f>IFERROR(IF(LEN(C12)&lt;&gt;13,"",IF(VALUE(MID(C12,5,3))&gt;=800,1000,2000)+VALUE(MID(C12,5,3))),"")</f>
        <v/>
      </c>
      <c r="N12">
        <f>IFERROR(IF(M12="","",IF(AND(DAY(DATE(M12,VALUE(MID(C12,3,2)),VALUE(MID(C12,1,2))))=VALUE(MID(C12,1,2)),MONTH(DATE(M12,VALUE(MID(C12,3,2)),VALUE(MID(C12,1,2))))=VALUE(MID(C12,3,2))),DATE(M12,VALUE(MID(C12,3,2)),VALUE(MID(C12,1,2))),"")),"")</f>
        <v/>
      </c>
    </row>
    <row r="13">
      <c r="A13" s="2" t="n"/>
      <c r="B13" s="2" t="n"/>
      <c r="C13" s="3" t="n"/>
      <c r="D13" s="2" t="n"/>
      <c r="E13" s="4">
        <f>IF(A13="","",5)</f>
        <v/>
      </c>
      <c r="F13" s="2" t="n"/>
      <c r="G13" s="4" t="n"/>
      <c r="H13" s="2" t="n"/>
      <c r="I13" s="2" t="n"/>
      <c r="J13" s="2">
        <f>IF(C13="","",IF(LEN(C13)&lt;&gt;13,"Nema 13 cifara (ima "&amp;LEN(C13)&amp;")",IF(L13="","JMBG sadrži nešto što nije cifra",IF(N13="","Nepostojeći datum rođenja",IF(VALUE(MID(C13,13,1))&lt;&gt;L13,"Pogrešna kontrolna cifra - treba "&amp;L13,"✓ ispravan")))))</f>
        <v/>
      </c>
      <c r="K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L13">
        <f>IF(K13="","",IF(11-MOD(K13,11)&gt;9,0,11-MOD(K13,11)))</f>
        <v/>
      </c>
      <c r="M13">
        <f>IFERROR(IF(LEN(C13)&lt;&gt;13,"",IF(VALUE(MID(C13,5,3))&gt;=800,1000,2000)+VALUE(MID(C13,5,3))),"")</f>
        <v/>
      </c>
      <c r="N13">
        <f>IFERROR(IF(M13="","",IF(AND(DAY(DATE(M13,VALUE(MID(C13,3,2)),VALUE(MID(C13,1,2))))=VALUE(MID(C13,1,2)),MONTH(DATE(M13,VALUE(MID(C13,3,2)),VALUE(MID(C13,1,2))))=VALUE(MID(C13,3,2))),DATE(M13,VALUE(MID(C13,3,2)),VALUE(MID(C13,1,2))),"")),"")</f>
        <v/>
      </c>
    </row>
    <row r="14">
      <c r="A14" s="2" t="n"/>
      <c r="B14" s="2" t="n"/>
      <c r="C14" s="3" t="n"/>
      <c r="D14" s="2" t="n"/>
      <c r="E14" s="4">
        <f>IF(A14="","",5)</f>
        <v/>
      </c>
      <c r="F14" s="2" t="n"/>
      <c r="G14" s="4" t="n"/>
      <c r="H14" s="2" t="n"/>
      <c r="I14" s="2" t="n"/>
      <c r="J14" s="2">
        <f>IF(C14="","",IF(LEN(C14)&lt;&gt;13,"Nema 13 cifara (ima "&amp;LEN(C14)&amp;")",IF(L14="","JMBG sadrži nešto što nije cifra",IF(N14="","Nepostojeći datum rođenja",IF(VALUE(MID(C14,13,1))&lt;&gt;L14,"Pogrešna kontrolna cifra - treba "&amp;L14,"✓ ispravan")))))</f>
        <v/>
      </c>
      <c r="K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L14">
        <f>IF(K14="","",IF(11-MOD(K14,11)&gt;9,0,11-MOD(K14,11)))</f>
        <v/>
      </c>
      <c r="M14">
        <f>IFERROR(IF(LEN(C14)&lt;&gt;13,"",IF(VALUE(MID(C14,5,3))&gt;=800,1000,2000)+VALUE(MID(C14,5,3))),"")</f>
        <v/>
      </c>
      <c r="N14">
        <f>IFERROR(IF(M14="","",IF(AND(DAY(DATE(M14,VALUE(MID(C14,3,2)),VALUE(MID(C14,1,2))))=VALUE(MID(C14,1,2)),MONTH(DATE(M14,VALUE(MID(C14,3,2)),VALUE(MID(C14,1,2))))=VALUE(MID(C14,3,2))),DATE(M14,VALUE(MID(C14,3,2)),VALUE(MID(C14,1,2))),"")),"")</f>
        <v/>
      </c>
    </row>
    <row r="15">
      <c r="A15" s="2" t="n"/>
      <c r="B15" s="2" t="n"/>
      <c r="C15" s="3" t="n"/>
      <c r="D15" s="2" t="n"/>
      <c r="E15" s="4">
        <f>IF(A15="","",5)</f>
        <v/>
      </c>
      <c r="F15" s="2" t="n"/>
      <c r="G15" s="4" t="n"/>
      <c r="H15" s="2" t="n"/>
      <c r="I15" s="2" t="n"/>
      <c r="J15" s="2">
        <f>IF(C15="","",IF(LEN(C15)&lt;&gt;13,"Nema 13 cifara (ima "&amp;LEN(C15)&amp;")",IF(L15="","JMBG sadrži nešto što nije cifra",IF(N15="","Nepostojeći datum rođenja",IF(VALUE(MID(C15,13,1))&lt;&gt;L15,"Pogrešna kontrolna cifra - treba "&amp;L15,"✓ ispravan")))))</f>
        <v/>
      </c>
      <c r="K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L15">
        <f>IF(K15="","",IF(11-MOD(K15,11)&gt;9,0,11-MOD(K15,11)))</f>
        <v/>
      </c>
      <c r="M15">
        <f>IFERROR(IF(LEN(C15)&lt;&gt;13,"",IF(VALUE(MID(C15,5,3))&gt;=800,1000,2000)+VALUE(MID(C15,5,3))),"")</f>
        <v/>
      </c>
      <c r="N15">
        <f>IFERROR(IF(M15="","",IF(AND(DAY(DATE(M15,VALUE(MID(C15,3,2)),VALUE(MID(C15,1,2))))=VALUE(MID(C15,1,2)),MONTH(DATE(M15,VALUE(MID(C15,3,2)),VALUE(MID(C15,1,2))))=VALUE(MID(C15,3,2))),DATE(M15,VALUE(MID(C15,3,2)),VALUE(MID(C15,1,2))),"")),"")</f>
        <v/>
      </c>
    </row>
    <row r="16">
      <c r="A16" s="2" t="n"/>
      <c r="B16" s="2" t="n"/>
      <c r="C16" s="3" t="n"/>
      <c r="D16" s="2" t="n"/>
      <c r="E16" s="4">
        <f>IF(A16="","",5)</f>
        <v/>
      </c>
      <c r="F16" s="2" t="n"/>
      <c r="G16" s="4" t="n"/>
      <c r="H16" s="2" t="n"/>
      <c r="I16" s="2" t="n"/>
      <c r="J16" s="2">
        <f>IF(C16="","",IF(LEN(C16)&lt;&gt;13,"Nema 13 cifara (ima "&amp;LEN(C16)&amp;")",IF(L16="","JMBG sadrži nešto što nije cifra",IF(N16="","Nepostojeći datum rođenja",IF(VALUE(MID(C16,13,1))&lt;&gt;L16,"Pogrešna kontrolna cifra - treba "&amp;L16,"✓ ispravan")))))</f>
        <v/>
      </c>
      <c r="K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L16">
        <f>IF(K16="","",IF(11-MOD(K16,11)&gt;9,0,11-MOD(K16,11)))</f>
        <v/>
      </c>
      <c r="M16">
        <f>IFERROR(IF(LEN(C16)&lt;&gt;13,"",IF(VALUE(MID(C16,5,3))&gt;=800,1000,2000)+VALUE(MID(C16,5,3))),"")</f>
        <v/>
      </c>
      <c r="N16">
        <f>IFERROR(IF(M16="","",IF(AND(DAY(DATE(M16,VALUE(MID(C16,3,2)),VALUE(MID(C16,1,2))))=VALUE(MID(C16,1,2)),MONTH(DATE(M16,VALUE(MID(C16,3,2)),VALUE(MID(C16,1,2))))=VALUE(MID(C16,3,2))),DATE(M16,VALUE(MID(C16,3,2)),VALUE(MID(C16,1,2))),"")),"")</f>
        <v/>
      </c>
    </row>
    <row r="17">
      <c r="A17" s="2" t="n"/>
      <c r="B17" s="2" t="n"/>
      <c r="C17" s="3" t="n"/>
      <c r="D17" s="2" t="n"/>
      <c r="E17" s="4">
        <f>IF(A17="","",5)</f>
        <v/>
      </c>
      <c r="F17" s="2" t="n"/>
      <c r="G17" s="4" t="n"/>
      <c r="H17" s="2" t="n"/>
      <c r="I17" s="2" t="n"/>
      <c r="J17" s="2">
        <f>IF(C17="","",IF(LEN(C17)&lt;&gt;13,"Nema 13 cifara (ima "&amp;LEN(C17)&amp;")",IF(L17="","JMBG sadrži nešto što nije cifra",IF(N17="","Nepostojeći datum rođenja",IF(VALUE(MID(C17,13,1))&lt;&gt;L17,"Pogrešna kontrolna cifra - treba "&amp;L17,"✓ ispravan")))))</f>
        <v/>
      </c>
      <c r="K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L17">
        <f>IF(K17="","",IF(11-MOD(K17,11)&gt;9,0,11-MOD(K17,11)))</f>
        <v/>
      </c>
      <c r="M17">
        <f>IFERROR(IF(LEN(C17)&lt;&gt;13,"",IF(VALUE(MID(C17,5,3))&gt;=800,1000,2000)+VALUE(MID(C17,5,3))),"")</f>
        <v/>
      </c>
      <c r="N17">
        <f>IFERROR(IF(M17="","",IF(AND(DAY(DATE(M17,VALUE(MID(C17,3,2)),VALUE(MID(C17,1,2))))=VALUE(MID(C17,1,2)),MONTH(DATE(M17,VALUE(MID(C17,3,2)),VALUE(MID(C17,1,2))))=VALUE(MID(C17,3,2))),DATE(M17,VALUE(MID(C17,3,2)),VALUE(MID(C17,1,2))),"")),"")</f>
        <v/>
      </c>
    </row>
    <row r="18">
      <c r="A18" s="2" t="n"/>
      <c r="B18" s="2" t="n"/>
      <c r="C18" s="3" t="n"/>
      <c r="D18" s="2" t="n"/>
      <c r="E18" s="4">
        <f>IF(A18="","",5)</f>
        <v/>
      </c>
      <c r="F18" s="2" t="n"/>
      <c r="G18" s="4" t="n"/>
      <c r="H18" s="2" t="n"/>
      <c r="I18" s="2" t="n"/>
      <c r="J18" s="2">
        <f>IF(C18="","",IF(LEN(C18)&lt;&gt;13,"Nema 13 cifara (ima "&amp;LEN(C18)&amp;")",IF(L18="","JMBG sadrži nešto što nije cifra",IF(N18="","Nepostojeći datum rođenja",IF(VALUE(MID(C18,13,1))&lt;&gt;L18,"Pogrešna kontrolna cifra - treba "&amp;L18,"✓ ispravan")))))</f>
        <v/>
      </c>
      <c r="K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L18">
        <f>IF(K18="","",IF(11-MOD(K18,11)&gt;9,0,11-MOD(K18,11)))</f>
        <v/>
      </c>
      <c r="M18">
        <f>IFERROR(IF(LEN(C18)&lt;&gt;13,"",IF(VALUE(MID(C18,5,3))&gt;=800,1000,2000)+VALUE(MID(C18,5,3))),"")</f>
        <v/>
      </c>
      <c r="N18">
        <f>IFERROR(IF(M18="","",IF(AND(DAY(DATE(M18,VALUE(MID(C18,3,2)),VALUE(MID(C18,1,2))))=VALUE(MID(C18,1,2)),MONTH(DATE(M18,VALUE(MID(C18,3,2)),VALUE(MID(C18,1,2))))=VALUE(MID(C18,3,2))),DATE(M18,VALUE(MID(C18,3,2)),VALUE(MID(C18,1,2))),"")),"")</f>
        <v/>
      </c>
    </row>
    <row r="19">
      <c r="A19" s="2" t="n"/>
      <c r="B19" s="2" t="n"/>
      <c r="C19" s="3" t="n"/>
      <c r="D19" s="2" t="n"/>
      <c r="E19" s="4">
        <f>IF(A19="","",5)</f>
        <v/>
      </c>
      <c r="F19" s="2" t="n"/>
      <c r="G19" s="4" t="n"/>
      <c r="H19" s="2" t="n"/>
      <c r="I19" s="2" t="n"/>
      <c r="J19" s="2">
        <f>IF(C19="","",IF(LEN(C19)&lt;&gt;13,"Nema 13 cifara (ima "&amp;LEN(C19)&amp;")",IF(L19="","JMBG sadrži nešto što nije cifra",IF(N19="","Nepostojeći datum rođenja",IF(VALUE(MID(C19,13,1))&lt;&gt;L19,"Pogrešna kontrolna cifra - treba "&amp;L19,"✓ ispravan")))))</f>
        <v/>
      </c>
      <c r="K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L19">
        <f>IF(K19="","",IF(11-MOD(K19,11)&gt;9,0,11-MOD(K19,11)))</f>
        <v/>
      </c>
      <c r="M19">
        <f>IFERROR(IF(LEN(C19)&lt;&gt;13,"",IF(VALUE(MID(C19,5,3))&gt;=800,1000,2000)+VALUE(MID(C19,5,3))),"")</f>
        <v/>
      </c>
      <c r="N19">
        <f>IFERROR(IF(M19="","",IF(AND(DAY(DATE(M19,VALUE(MID(C19,3,2)),VALUE(MID(C19,1,2))))=VALUE(MID(C19,1,2)),MONTH(DATE(M19,VALUE(MID(C19,3,2)),VALUE(MID(C19,1,2))))=VALUE(MID(C19,3,2))),DATE(M19,VALUE(MID(C19,3,2)),VALUE(MID(C19,1,2))),"")),"")</f>
        <v/>
      </c>
    </row>
    <row r="20">
      <c r="A20" s="2" t="n"/>
      <c r="B20" s="2" t="n"/>
      <c r="C20" s="3" t="n"/>
      <c r="D20" s="2" t="n"/>
      <c r="E20" s="4">
        <f>IF(A20="","",5)</f>
        <v/>
      </c>
      <c r="F20" s="2" t="n"/>
      <c r="G20" s="4" t="n"/>
      <c r="H20" s="2" t="n"/>
      <c r="I20" s="2" t="n"/>
      <c r="J20" s="2">
        <f>IF(C20="","",IF(LEN(C20)&lt;&gt;13,"Nema 13 cifara (ima "&amp;LEN(C20)&amp;")",IF(L20="","JMBG sadrži nešto što nije cifra",IF(N20="","Nepostojeći datum rođenja",IF(VALUE(MID(C20,13,1))&lt;&gt;L20,"Pogrešna kontrolna cifra - treba "&amp;L20,"✓ ispravan")))))</f>
        <v/>
      </c>
      <c r="K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L20">
        <f>IF(K20="","",IF(11-MOD(K20,11)&gt;9,0,11-MOD(K20,11)))</f>
        <v/>
      </c>
      <c r="M20">
        <f>IFERROR(IF(LEN(C20)&lt;&gt;13,"",IF(VALUE(MID(C20,5,3))&gt;=800,1000,2000)+VALUE(MID(C20,5,3))),"")</f>
        <v/>
      </c>
      <c r="N20">
        <f>IFERROR(IF(M20="","",IF(AND(DAY(DATE(M20,VALUE(MID(C20,3,2)),VALUE(MID(C20,1,2))))=VALUE(MID(C20,1,2)),MONTH(DATE(M20,VALUE(MID(C20,3,2)),VALUE(MID(C20,1,2))))=VALUE(MID(C20,3,2))),DATE(M20,VALUE(MID(C20,3,2)),VALUE(MID(C20,1,2))),"")),"")</f>
        <v/>
      </c>
    </row>
    <row r="21">
      <c r="A21" s="2" t="n"/>
      <c r="B21" s="2" t="n"/>
      <c r="C21" s="3" t="n"/>
      <c r="D21" s="2" t="n"/>
      <c r="E21" s="4">
        <f>IF(A21="","",5)</f>
        <v/>
      </c>
      <c r="F21" s="2" t="n"/>
      <c r="G21" s="4" t="n"/>
      <c r="H21" s="2" t="n"/>
      <c r="I21" s="2" t="n"/>
      <c r="J21" s="2">
        <f>IF(C21="","",IF(LEN(C21)&lt;&gt;13,"Nema 13 cifara (ima "&amp;LEN(C21)&amp;")",IF(L21="","JMBG sadrži nešto što nije cifra",IF(N21="","Nepostojeći datum rođenja",IF(VALUE(MID(C21,13,1))&lt;&gt;L21,"Pogrešna kontrolna cifra - treba "&amp;L21,"✓ ispravan")))))</f>
        <v/>
      </c>
      <c r="K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L21">
        <f>IF(K21="","",IF(11-MOD(K21,11)&gt;9,0,11-MOD(K21,11)))</f>
        <v/>
      </c>
      <c r="M21">
        <f>IFERROR(IF(LEN(C21)&lt;&gt;13,"",IF(VALUE(MID(C21,5,3))&gt;=800,1000,2000)+VALUE(MID(C21,5,3))),"")</f>
        <v/>
      </c>
      <c r="N21">
        <f>IFERROR(IF(M21="","",IF(AND(DAY(DATE(M21,VALUE(MID(C21,3,2)),VALUE(MID(C21,1,2))))=VALUE(MID(C21,1,2)),MONTH(DATE(M21,VALUE(MID(C21,3,2)),VALUE(MID(C21,1,2))))=VALUE(MID(C21,3,2))),DATE(M21,VALUE(MID(C21,3,2)),VALUE(MID(C21,1,2))),"")),"")</f>
        <v/>
      </c>
    </row>
    <row r="22">
      <c r="A22" s="2" t="n"/>
      <c r="B22" s="2" t="n"/>
      <c r="C22" s="3" t="n"/>
      <c r="D22" s="2" t="n"/>
      <c r="E22" s="4">
        <f>IF(A22="","",5)</f>
        <v/>
      </c>
      <c r="F22" s="2" t="n"/>
      <c r="G22" s="4" t="n"/>
      <c r="H22" s="2" t="n"/>
      <c r="I22" s="2" t="n"/>
      <c r="J22" s="2">
        <f>IF(C22="","",IF(LEN(C22)&lt;&gt;13,"Nema 13 cifara (ima "&amp;LEN(C22)&amp;")",IF(L22="","JMBG sadrži nešto što nije cifra",IF(N22="","Nepostojeći datum rođenja",IF(VALUE(MID(C22,13,1))&lt;&gt;L22,"Pogrešna kontrolna cifra - treba "&amp;L22,"✓ ispravan")))))</f>
        <v/>
      </c>
      <c r="K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L22">
        <f>IF(K22="","",IF(11-MOD(K22,11)&gt;9,0,11-MOD(K22,11)))</f>
        <v/>
      </c>
      <c r="M22">
        <f>IFERROR(IF(LEN(C22)&lt;&gt;13,"",IF(VALUE(MID(C22,5,3))&gt;=800,1000,2000)+VALUE(MID(C22,5,3))),"")</f>
        <v/>
      </c>
      <c r="N22">
        <f>IFERROR(IF(M22="","",IF(AND(DAY(DATE(M22,VALUE(MID(C22,3,2)),VALUE(MID(C22,1,2))))=VALUE(MID(C22,1,2)),MONTH(DATE(M22,VALUE(MID(C22,3,2)),VALUE(MID(C22,1,2))))=VALUE(MID(C22,3,2))),DATE(M22,VALUE(MID(C22,3,2)),VALUE(MID(C22,1,2))),"")),"")</f>
        <v/>
      </c>
    </row>
    <row r="23">
      <c r="A23" s="2" t="n"/>
      <c r="B23" s="2" t="n"/>
      <c r="C23" s="3" t="n"/>
      <c r="D23" s="2" t="n"/>
      <c r="E23" s="4">
        <f>IF(A23="","",5)</f>
        <v/>
      </c>
      <c r="F23" s="2" t="n"/>
      <c r="G23" s="4" t="n"/>
      <c r="H23" s="2" t="n"/>
      <c r="I23" s="2" t="n"/>
      <c r="J23" s="2">
        <f>IF(C23="","",IF(LEN(C23)&lt;&gt;13,"Nema 13 cifara (ima "&amp;LEN(C23)&amp;")",IF(L23="","JMBG sadrži nešto što nije cifra",IF(N23="","Nepostojeći datum rođenja",IF(VALUE(MID(C23,13,1))&lt;&gt;L23,"Pogrešna kontrolna cifra - treba "&amp;L23,"✓ ispravan")))))</f>
        <v/>
      </c>
      <c r="K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L23">
        <f>IF(K23="","",IF(11-MOD(K23,11)&gt;9,0,11-MOD(K23,11)))</f>
        <v/>
      </c>
      <c r="M23">
        <f>IFERROR(IF(LEN(C23)&lt;&gt;13,"",IF(VALUE(MID(C23,5,3))&gt;=800,1000,2000)+VALUE(MID(C23,5,3))),"")</f>
        <v/>
      </c>
      <c r="N23">
        <f>IFERROR(IF(M23="","",IF(AND(DAY(DATE(M23,VALUE(MID(C23,3,2)),VALUE(MID(C23,1,2))))=VALUE(MID(C23,1,2)),MONTH(DATE(M23,VALUE(MID(C23,3,2)),VALUE(MID(C23,1,2))))=VALUE(MID(C23,3,2))),DATE(M23,VALUE(MID(C23,3,2)),VALUE(MID(C23,1,2))),"")),"")</f>
        <v/>
      </c>
    </row>
    <row r="24">
      <c r="A24" s="2" t="n"/>
      <c r="B24" s="2" t="n"/>
      <c r="C24" s="3" t="n"/>
      <c r="D24" s="2" t="n"/>
      <c r="E24" s="4">
        <f>IF(A24="","",5)</f>
        <v/>
      </c>
      <c r="F24" s="2" t="n"/>
      <c r="G24" s="4" t="n"/>
      <c r="H24" s="2" t="n"/>
      <c r="I24" s="2" t="n"/>
      <c r="J24" s="2">
        <f>IF(C24="","",IF(LEN(C24)&lt;&gt;13,"Nema 13 cifara (ima "&amp;LEN(C24)&amp;")",IF(L24="","JMBG sadrži nešto što nije cifra",IF(N24="","Nepostojeći datum rođenja",IF(VALUE(MID(C24,13,1))&lt;&gt;L24,"Pogrešna kontrolna cifra - treba "&amp;L24,"✓ ispravan")))))</f>
        <v/>
      </c>
      <c r="K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L24">
        <f>IF(K24="","",IF(11-MOD(K24,11)&gt;9,0,11-MOD(K24,11)))</f>
        <v/>
      </c>
      <c r="M24">
        <f>IFERROR(IF(LEN(C24)&lt;&gt;13,"",IF(VALUE(MID(C24,5,3))&gt;=800,1000,2000)+VALUE(MID(C24,5,3))),"")</f>
        <v/>
      </c>
      <c r="N24">
        <f>IFERROR(IF(M24="","",IF(AND(DAY(DATE(M24,VALUE(MID(C24,3,2)),VALUE(MID(C24,1,2))))=VALUE(MID(C24,1,2)),MONTH(DATE(M24,VALUE(MID(C24,3,2)),VALUE(MID(C24,1,2))))=VALUE(MID(C24,3,2))),DATE(M24,VALUE(MID(C24,3,2)),VALUE(MID(C24,1,2))),"")),"")</f>
        <v/>
      </c>
    </row>
    <row r="25">
      <c r="A25" s="2" t="n"/>
      <c r="B25" s="2" t="n"/>
      <c r="C25" s="3" t="n"/>
      <c r="D25" s="2" t="n"/>
      <c r="E25" s="4">
        <f>IF(A25="","",5)</f>
        <v/>
      </c>
      <c r="F25" s="2" t="n"/>
      <c r="G25" s="4" t="n"/>
      <c r="H25" s="2" t="n"/>
      <c r="I25" s="2" t="n"/>
      <c r="J25" s="2">
        <f>IF(C25="","",IF(LEN(C25)&lt;&gt;13,"Nema 13 cifara (ima "&amp;LEN(C25)&amp;")",IF(L25="","JMBG sadrži nešto što nije cifra",IF(N25="","Nepostojeći datum rođenja",IF(VALUE(MID(C25,13,1))&lt;&gt;L25,"Pogrešna kontrolna cifra - treba "&amp;L25,"✓ ispravan")))))</f>
        <v/>
      </c>
      <c r="K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L25">
        <f>IF(K25="","",IF(11-MOD(K25,11)&gt;9,0,11-MOD(K25,11)))</f>
        <v/>
      </c>
      <c r="M25">
        <f>IFERROR(IF(LEN(C25)&lt;&gt;13,"",IF(VALUE(MID(C25,5,3))&gt;=800,1000,2000)+VALUE(MID(C25,5,3))),"")</f>
        <v/>
      </c>
      <c r="N25">
        <f>IFERROR(IF(M25="","",IF(AND(DAY(DATE(M25,VALUE(MID(C25,3,2)),VALUE(MID(C25,1,2))))=VALUE(MID(C25,1,2)),MONTH(DATE(M25,VALUE(MID(C25,3,2)),VALUE(MID(C25,1,2))))=VALUE(MID(C25,3,2))),DATE(M25,VALUE(MID(C25,3,2)),VALUE(MID(C25,1,2))),"")),"")</f>
        <v/>
      </c>
    </row>
    <row r="26">
      <c r="A26" s="2" t="n"/>
      <c r="B26" s="2" t="n"/>
      <c r="C26" s="3" t="n"/>
      <c r="D26" s="2" t="n"/>
      <c r="E26" s="4">
        <f>IF(A26="","",5)</f>
        <v/>
      </c>
      <c r="F26" s="2" t="n"/>
      <c r="G26" s="4" t="n"/>
      <c r="H26" s="2" t="n"/>
      <c r="I26" s="2" t="n"/>
      <c r="J26" s="2">
        <f>IF(C26="","",IF(LEN(C26)&lt;&gt;13,"Nema 13 cifara (ima "&amp;LEN(C26)&amp;")",IF(L26="","JMBG sadrži nešto što nije cifra",IF(N26="","Nepostojeći datum rođenja",IF(VALUE(MID(C26,13,1))&lt;&gt;L26,"Pogrešna kontrolna cifra - treba "&amp;L26,"✓ ispravan")))))</f>
        <v/>
      </c>
      <c r="K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L26">
        <f>IF(K26="","",IF(11-MOD(K26,11)&gt;9,0,11-MOD(K26,11)))</f>
        <v/>
      </c>
      <c r="M26">
        <f>IFERROR(IF(LEN(C26)&lt;&gt;13,"",IF(VALUE(MID(C26,5,3))&gt;=800,1000,2000)+VALUE(MID(C26,5,3))),"")</f>
        <v/>
      </c>
      <c r="N26">
        <f>IFERROR(IF(M26="","",IF(AND(DAY(DATE(M26,VALUE(MID(C26,3,2)),VALUE(MID(C26,1,2))))=VALUE(MID(C26,1,2)),MONTH(DATE(M26,VALUE(MID(C26,3,2)),VALUE(MID(C26,1,2))))=VALUE(MID(C26,3,2))),DATE(M26,VALUE(MID(C26,3,2)),VALUE(MID(C26,1,2))),"")),"")</f>
        <v/>
      </c>
    </row>
    <row r="27">
      <c r="A27" s="2" t="n"/>
      <c r="B27" s="2" t="n"/>
      <c r="C27" s="3" t="n"/>
      <c r="D27" s="2" t="n"/>
      <c r="E27" s="4">
        <f>IF(A27="","",5)</f>
        <v/>
      </c>
      <c r="F27" s="2" t="n"/>
      <c r="G27" s="4" t="n"/>
      <c r="H27" s="2" t="n"/>
      <c r="I27" s="2" t="n"/>
      <c r="J27" s="2">
        <f>IF(C27="","",IF(LEN(C27)&lt;&gt;13,"Nema 13 cifara (ima "&amp;LEN(C27)&amp;")",IF(L27="","JMBG sadrži nešto što nije cifra",IF(N27="","Nepostojeći datum rođenja",IF(VALUE(MID(C27,13,1))&lt;&gt;L27,"Pogrešna kontrolna cifra - treba "&amp;L27,"✓ ispravan")))))</f>
        <v/>
      </c>
      <c r="K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L27">
        <f>IF(K27="","",IF(11-MOD(K27,11)&gt;9,0,11-MOD(K27,11)))</f>
        <v/>
      </c>
      <c r="M27">
        <f>IFERROR(IF(LEN(C27)&lt;&gt;13,"",IF(VALUE(MID(C27,5,3))&gt;=800,1000,2000)+VALUE(MID(C27,5,3))),"")</f>
        <v/>
      </c>
      <c r="N27">
        <f>IFERROR(IF(M27="","",IF(AND(DAY(DATE(M27,VALUE(MID(C27,3,2)),VALUE(MID(C27,1,2))))=VALUE(MID(C27,1,2)),MONTH(DATE(M27,VALUE(MID(C27,3,2)),VALUE(MID(C27,1,2))))=VALUE(MID(C27,3,2))),DATE(M27,VALUE(MID(C27,3,2)),VALUE(MID(C27,1,2))),"")),"")</f>
        <v/>
      </c>
    </row>
    <row r="28">
      <c r="A28" s="2" t="n"/>
      <c r="B28" s="2" t="n"/>
      <c r="C28" s="3" t="n"/>
      <c r="D28" s="2" t="n"/>
      <c r="E28" s="4">
        <f>IF(A28="","",5)</f>
        <v/>
      </c>
      <c r="F28" s="2" t="n"/>
      <c r="G28" s="4" t="n"/>
      <c r="H28" s="2" t="n"/>
      <c r="I28" s="2" t="n"/>
      <c r="J28" s="2">
        <f>IF(C28="","",IF(LEN(C28)&lt;&gt;13,"Nema 13 cifara (ima "&amp;LEN(C28)&amp;")",IF(L28="","JMBG sadrži nešto što nije cifra",IF(N28="","Nepostojeći datum rođenja",IF(VALUE(MID(C28,13,1))&lt;&gt;L28,"Pogrešna kontrolna cifra - treba "&amp;L28,"✓ ispravan")))))</f>
        <v/>
      </c>
      <c r="K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L28">
        <f>IF(K28="","",IF(11-MOD(K28,11)&gt;9,0,11-MOD(K28,11)))</f>
        <v/>
      </c>
      <c r="M28">
        <f>IFERROR(IF(LEN(C28)&lt;&gt;13,"",IF(VALUE(MID(C28,5,3))&gt;=800,1000,2000)+VALUE(MID(C28,5,3))),"")</f>
        <v/>
      </c>
      <c r="N28">
        <f>IFERROR(IF(M28="","",IF(AND(DAY(DATE(M28,VALUE(MID(C28,3,2)),VALUE(MID(C28,1,2))))=VALUE(MID(C28,1,2)),MONTH(DATE(M28,VALUE(MID(C28,3,2)),VALUE(MID(C28,1,2))))=VALUE(MID(C28,3,2))),DATE(M28,VALUE(MID(C28,3,2)),VALUE(MID(C28,1,2))),"")),"")</f>
        <v/>
      </c>
    </row>
    <row r="29">
      <c r="A29" s="2" t="n"/>
      <c r="B29" s="2" t="n"/>
      <c r="C29" s="3" t="n"/>
      <c r="D29" s="2" t="n"/>
      <c r="E29" s="4">
        <f>IF(A29="","",5)</f>
        <v/>
      </c>
      <c r="F29" s="2" t="n"/>
      <c r="G29" s="4" t="n"/>
      <c r="H29" s="2" t="n"/>
      <c r="I29" s="2" t="n"/>
      <c r="J29" s="2">
        <f>IF(C29="","",IF(LEN(C29)&lt;&gt;13,"Nema 13 cifara (ima "&amp;LEN(C29)&amp;")",IF(L29="","JMBG sadrži nešto što nije cifra",IF(N29="","Nepostojeći datum rođenja",IF(VALUE(MID(C29,13,1))&lt;&gt;L29,"Pogrešna kontrolna cifra - treba "&amp;L29,"✓ ispravan")))))</f>
        <v/>
      </c>
      <c r="K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L29">
        <f>IF(K29="","",IF(11-MOD(K29,11)&gt;9,0,11-MOD(K29,11)))</f>
        <v/>
      </c>
      <c r="M29">
        <f>IFERROR(IF(LEN(C29)&lt;&gt;13,"",IF(VALUE(MID(C29,5,3))&gt;=800,1000,2000)+VALUE(MID(C29,5,3))),"")</f>
        <v/>
      </c>
      <c r="N29">
        <f>IFERROR(IF(M29="","",IF(AND(DAY(DATE(M29,VALUE(MID(C29,3,2)),VALUE(MID(C29,1,2))))=VALUE(MID(C29,1,2)),MONTH(DATE(M29,VALUE(MID(C29,3,2)),VALUE(MID(C29,1,2))))=VALUE(MID(C29,3,2))),DATE(M29,VALUE(MID(C29,3,2)),VALUE(MID(C29,1,2))),"")),"")</f>
        <v/>
      </c>
    </row>
    <row r="30">
      <c r="A30" s="2" t="n"/>
      <c r="B30" s="2" t="n"/>
      <c r="C30" s="3" t="n"/>
      <c r="D30" s="2" t="n"/>
      <c r="E30" s="4">
        <f>IF(A30="","",5)</f>
        <v/>
      </c>
      <c r="F30" s="2" t="n"/>
      <c r="G30" s="4" t="n"/>
      <c r="H30" s="2" t="n"/>
      <c r="I30" s="2" t="n"/>
      <c r="J30" s="2">
        <f>IF(C30="","",IF(LEN(C30)&lt;&gt;13,"Nema 13 cifara (ima "&amp;LEN(C30)&amp;")",IF(L30="","JMBG sadrži nešto što nije cifra",IF(N30="","Nepostojeći datum rođenja",IF(VALUE(MID(C30,13,1))&lt;&gt;L30,"Pogrešna kontrolna cifra - treba "&amp;L30,"✓ ispravan")))))</f>
        <v/>
      </c>
      <c r="K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L30">
        <f>IF(K30="","",IF(11-MOD(K30,11)&gt;9,0,11-MOD(K30,11)))</f>
        <v/>
      </c>
      <c r="M30">
        <f>IFERROR(IF(LEN(C30)&lt;&gt;13,"",IF(VALUE(MID(C30,5,3))&gt;=800,1000,2000)+VALUE(MID(C30,5,3))),"")</f>
        <v/>
      </c>
      <c r="N30">
        <f>IFERROR(IF(M30="","",IF(AND(DAY(DATE(M30,VALUE(MID(C30,3,2)),VALUE(MID(C30,1,2))))=VALUE(MID(C30,1,2)),MONTH(DATE(M30,VALUE(MID(C30,3,2)),VALUE(MID(C30,1,2))))=VALUE(MID(C30,3,2))),DATE(M30,VALUE(MID(C30,3,2)),VALUE(MID(C30,1,2))),"")),"")</f>
        <v/>
      </c>
    </row>
    <row r="31">
      <c r="A31" s="2" t="n"/>
      <c r="B31" s="2" t="n"/>
      <c r="C31" s="3" t="n"/>
      <c r="D31" s="2" t="n"/>
      <c r="E31" s="4">
        <f>IF(A31="","",5)</f>
        <v/>
      </c>
      <c r="F31" s="2" t="n"/>
      <c r="G31" s="4" t="n"/>
      <c r="H31" s="2" t="n"/>
      <c r="I31" s="2" t="n"/>
      <c r="J31" s="2">
        <f>IF(C31="","",IF(LEN(C31)&lt;&gt;13,"Nema 13 cifara (ima "&amp;LEN(C31)&amp;")",IF(L31="","JMBG sadrži nešto što nije cifra",IF(N31="","Nepostojeći datum rođenja",IF(VALUE(MID(C31,13,1))&lt;&gt;L31,"Pogrešna kontrolna cifra - treba "&amp;L31,"✓ ispravan")))))</f>
        <v/>
      </c>
      <c r="K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L31">
        <f>IF(K31="","",IF(11-MOD(K31,11)&gt;9,0,11-MOD(K31,11)))</f>
        <v/>
      </c>
      <c r="M31">
        <f>IFERROR(IF(LEN(C31)&lt;&gt;13,"",IF(VALUE(MID(C31,5,3))&gt;=800,1000,2000)+VALUE(MID(C31,5,3))),"")</f>
        <v/>
      </c>
      <c r="N31">
        <f>IFERROR(IF(M31="","",IF(AND(DAY(DATE(M31,VALUE(MID(C31,3,2)),VALUE(MID(C31,1,2))))=VALUE(MID(C31,1,2)),MONTH(DATE(M31,VALUE(MID(C31,3,2)),VALUE(MID(C31,1,2))))=VALUE(MID(C31,3,2))),DATE(M31,VALUE(MID(C31,3,2)),VALUE(MID(C31,1,2))),"")),"")</f>
        <v/>
      </c>
    </row>
    <row r="32">
      <c r="A32" s="2" t="n"/>
      <c r="B32" s="2" t="n"/>
      <c r="C32" s="3" t="n"/>
      <c r="D32" s="2" t="n"/>
      <c r="E32" s="4">
        <f>IF(A32="","",5)</f>
        <v/>
      </c>
      <c r="F32" s="2" t="n"/>
      <c r="G32" s="4" t="n"/>
      <c r="H32" s="2" t="n"/>
      <c r="I32" s="2" t="n"/>
      <c r="J32" s="2">
        <f>IF(C32="","",IF(LEN(C32)&lt;&gt;13,"Nema 13 cifara (ima "&amp;LEN(C32)&amp;")",IF(L32="","JMBG sadrži nešto što nije cifra",IF(N32="","Nepostojeći datum rođenja",IF(VALUE(MID(C32,13,1))&lt;&gt;L32,"Pogrešna kontrolna cifra - treba "&amp;L32,"✓ ispravan")))))</f>
        <v/>
      </c>
      <c r="K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L32">
        <f>IF(K32="","",IF(11-MOD(K32,11)&gt;9,0,11-MOD(K32,11)))</f>
        <v/>
      </c>
      <c r="M32">
        <f>IFERROR(IF(LEN(C32)&lt;&gt;13,"",IF(VALUE(MID(C32,5,3))&gt;=800,1000,2000)+VALUE(MID(C32,5,3))),"")</f>
        <v/>
      </c>
      <c r="N32">
        <f>IFERROR(IF(M32="","",IF(AND(DAY(DATE(M32,VALUE(MID(C32,3,2)),VALUE(MID(C32,1,2))))=VALUE(MID(C32,1,2)),MONTH(DATE(M32,VALUE(MID(C32,3,2)),VALUE(MID(C32,1,2))))=VALUE(MID(C32,3,2))),DATE(M32,VALUE(MID(C32,3,2)),VALUE(MID(C32,1,2))),"")),"")</f>
        <v/>
      </c>
    </row>
    <row r="33">
      <c r="A33" s="2" t="n"/>
      <c r="B33" s="2" t="n"/>
      <c r="C33" s="3" t="n"/>
      <c r="D33" s="2" t="n"/>
      <c r="E33" s="4">
        <f>IF(A33="","",5)</f>
        <v/>
      </c>
      <c r="F33" s="2" t="n"/>
      <c r="G33" s="4" t="n"/>
      <c r="H33" s="2" t="n"/>
      <c r="I33" s="2" t="n"/>
      <c r="J33" s="2">
        <f>IF(C33="","",IF(LEN(C33)&lt;&gt;13,"Nema 13 cifara (ima "&amp;LEN(C33)&amp;")",IF(L33="","JMBG sadrži nešto što nije cifra",IF(N33="","Nepostojeći datum rođenja",IF(VALUE(MID(C33,13,1))&lt;&gt;L33,"Pogrešna kontrolna cifra - treba "&amp;L33,"✓ ispravan")))))</f>
        <v/>
      </c>
      <c r="K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L33">
        <f>IF(K33="","",IF(11-MOD(K33,11)&gt;9,0,11-MOD(K33,11)))</f>
        <v/>
      </c>
      <c r="M33">
        <f>IFERROR(IF(LEN(C33)&lt;&gt;13,"",IF(VALUE(MID(C33,5,3))&gt;=800,1000,2000)+VALUE(MID(C33,5,3))),"")</f>
        <v/>
      </c>
      <c r="N33">
        <f>IFERROR(IF(M33="","",IF(AND(DAY(DATE(M33,VALUE(MID(C33,3,2)),VALUE(MID(C33,1,2))))=VALUE(MID(C33,1,2)),MONTH(DATE(M33,VALUE(MID(C33,3,2)),VALUE(MID(C33,1,2))))=VALUE(MID(C33,3,2))),DATE(M33,VALUE(MID(C33,3,2)),VALUE(MID(C33,1,2))),"")),"")</f>
        <v/>
      </c>
    </row>
    <row r="34">
      <c r="A34" s="2" t="n"/>
      <c r="B34" s="2" t="n"/>
      <c r="C34" s="3" t="n"/>
      <c r="D34" s="2" t="n"/>
      <c r="E34" s="4">
        <f>IF(A34="","",5)</f>
        <v/>
      </c>
      <c r="F34" s="2" t="n"/>
      <c r="G34" s="4" t="n"/>
      <c r="H34" s="2" t="n"/>
      <c r="I34" s="2" t="n"/>
      <c r="J34" s="2">
        <f>IF(C34="","",IF(LEN(C34)&lt;&gt;13,"Nema 13 cifara (ima "&amp;LEN(C34)&amp;")",IF(L34="","JMBG sadrži nešto što nije cifra",IF(N34="","Nepostojeći datum rođenja",IF(VALUE(MID(C34,13,1))&lt;&gt;L34,"Pogrešna kontrolna cifra - treba "&amp;L34,"✓ ispravan")))))</f>
        <v/>
      </c>
      <c r="K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L34">
        <f>IF(K34="","",IF(11-MOD(K34,11)&gt;9,0,11-MOD(K34,11)))</f>
        <v/>
      </c>
      <c r="M34">
        <f>IFERROR(IF(LEN(C34)&lt;&gt;13,"",IF(VALUE(MID(C34,5,3))&gt;=800,1000,2000)+VALUE(MID(C34,5,3))),"")</f>
        <v/>
      </c>
      <c r="N34">
        <f>IFERROR(IF(M34="","",IF(AND(DAY(DATE(M34,VALUE(MID(C34,3,2)),VALUE(MID(C34,1,2))))=VALUE(MID(C34,1,2)),MONTH(DATE(M34,VALUE(MID(C34,3,2)),VALUE(MID(C34,1,2))))=VALUE(MID(C34,3,2))),DATE(M34,VALUE(MID(C34,3,2)),VALUE(MID(C34,1,2))),"")),"")</f>
        <v/>
      </c>
    </row>
    <row r="35">
      <c r="A35" s="2" t="n"/>
      <c r="B35" s="2" t="n"/>
      <c r="C35" s="3" t="n"/>
      <c r="D35" s="2" t="n"/>
      <c r="E35" s="4">
        <f>IF(A35="","",5)</f>
        <v/>
      </c>
      <c r="F35" s="2" t="n"/>
      <c r="G35" s="4" t="n"/>
      <c r="H35" s="2" t="n"/>
      <c r="I35" s="2" t="n"/>
      <c r="J35" s="2">
        <f>IF(C35="","",IF(LEN(C35)&lt;&gt;13,"Nema 13 cifara (ima "&amp;LEN(C35)&amp;")",IF(L35="","JMBG sadrži nešto što nije cifra",IF(N35="","Nepostojeći datum rođenja",IF(VALUE(MID(C35,13,1))&lt;&gt;L35,"Pogrešna kontrolna cifra - treba "&amp;L35,"✓ ispravan")))))</f>
        <v/>
      </c>
      <c r="K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L35">
        <f>IF(K35="","",IF(11-MOD(K35,11)&gt;9,0,11-MOD(K35,11)))</f>
        <v/>
      </c>
      <c r="M35">
        <f>IFERROR(IF(LEN(C35)&lt;&gt;13,"",IF(VALUE(MID(C35,5,3))&gt;=800,1000,2000)+VALUE(MID(C35,5,3))),"")</f>
        <v/>
      </c>
      <c r="N35">
        <f>IFERROR(IF(M35="","",IF(AND(DAY(DATE(M35,VALUE(MID(C35,3,2)),VALUE(MID(C35,1,2))))=VALUE(MID(C35,1,2)),MONTH(DATE(M35,VALUE(MID(C35,3,2)),VALUE(MID(C35,1,2))))=VALUE(MID(C35,3,2))),DATE(M35,VALUE(MID(C35,3,2)),VALUE(MID(C35,1,2))),"")),"")</f>
        <v/>
      </c>
    </row>
    <row r="36">
      <c r="A36" s="2" t="n"/>
      <c r="B36" s="2" t="n"/>
      <c r="C36" s="3" t="n"/>
      <c r="D36" s="2" t="n"/>
      <c r="E36" s="4">
        <f>IF(A36="","",5)</f>
        <v/>
      </c>
      <c r="F36" s="2" t="n"/>
      <c r="G36" s="4" t="n"/>
      <c r="H36" s="2" t="n"/>
      <c r="I36" s="2" t="n"/>
      <c r="J36" s="2">
        <f>IF(C36="","",IF(LEN(C36)&lt;&gt;13,"Nema 13 cifara (ima "&amp;LEN(C36)&amp;")",IF(L36="","JMBG sadrži nešto što nije cifra",IF(N36="","Nepostojeći datum rođenja",IF(VALUE(MID(C36,13,1))&lt;&gt;L36,"Pogrešna kontrolna cifra - treba "&amp;L36,"✓ ispravan")))))</f>
        <v/>
      </c>
      <c r="K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L36">
        <f>IF(K36="","",IF(11-MOD(K36,11)&gt;9,0,11-MOD(K36,11)))</f>
        <v/>
      </c>
      <c r="M36">
        <f>IFERROR(IF(LEN(C36)&lt;&gt;13,"",IF(VALUE(MID(C36,5,3))&gt;=800,1000,2000)+VALUE(MID(C36,5,3))),"")</f>
        <v/>
      </c>
      <c r="N36">
        <f>IFERROR(IF(M36="","",IF(AND(DAY(DATE(M36,VALUE(MID(C36,3,2)),VALUE(MID(C36,1,2))))=VALUE(MID(C36,1,2)),MONTH(DATE(M36,VALUE(MID(C36,3,2)),VALUE(MID(C36,1,2))))=VALUE(MID(C36,3,2))),DATE(M36,VALUE(MID(C36,3,2)),VALUE(MID(C36,1,2))),"")),"")</f>
        <v/>
      </c>
    </row>
    <row r="37">
      <c r="A37" s="2" t="n"/>
      <c r="B37" s="2" t="n"/>
      <c r="C37" s="3" t="n"/>
      <c r="D37" s="2" t="n"/>
      <c r="E37" s="4">
        <f>IF(A37="","",5)</f>
        <v/>
      </c>
      <c r="F37" s="2" t="n"/>
      <c r="G37" s="4" t="n"/>
      <c r="H37" s="2" t="n"/>
      <c r="I37" s="2" t="n"/>
      <c r="J37" s="2">
        <f>IF(C37="","",IF(LEN(C37)&lt;&gt;13,"Nema 13 cifara (ima "&amp;LEN(C37)&amp;")",IF(L37="","JMBG sadrži nešto što nije cifra",IF(N37="","Nepostojeći datum rođenja",IF(VALUE(MID(C37,13,1))&lt;&gt;L37,"Pogrešna kontrolna cifra - treba "&amp;L37,"✓ ispravan")))))</f>
        <v/>
      </c>
      <c r="K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L37">
        <f>IF(K37="","",IF(11-MOD(K37,11)&gt;9,0,11-MOD(K37,11)))</f>
        <v/>
      </c>
      <c r="M37">
        <f>IFERROR(IF(LEN(C37)&lt;&gt;13,"",IF(VALUE(MID(C37,5,3))&gt;=800,1000,2000)+VALUE(MID(C37,5,3))),"")</f>
        <v/>
      </c>
      <c r="N37">
        <f>IFERROR(IF(M37="","",IF(AND(DAY(DATE(M37,VALUE(MID(C37,3,2)),VALUE(MID(C37,1,2))))=VALUE(MID(C37,1,2)),MONTH(DATE(M37,VALUE(MID(C37,3,2)),VALUE(MID(C37,1,2))))=VALUE(MID(C37,3,2))),DATE(M37,VALUE(MID(C37,3,2)),VALUE(MID(C37,1,2))),"")),"")</f>
        <v/>
      </c>
    </row>
    <row r="38">
      <c r="A38" s="2" t="n"/>
      <c r="B38" s="2" t="n"/>
      <c r="C38" s="3" t="n"/>
      <c r="D38" s="2" t="n"/>
      <c r="E38" s="4">
        <f>IF(A38="","",5)</f>
        <v/>
      </c>
      <c r="F38" s="2" t="n"/>
      <c r="G38" s="4" t="n"/>
      <c r="H38" s="2" t="n"/>
      <c r="I38" s="2" t="n"/>
      <c r="J38" s="2">
        <f>IF(C38="","",IF(LEN(C38)&lt;&gt;13,"Nema 13 cifara (ima "&amp;LEN(C38)&amp;")",IF(L38="","JMBG sadrži nešto što nije cifra",IF(N38="","Nepostojeći datum rođenja",IF(VALUE(MID(C38,13,1))&lt;&gt;L38,"Pogrešna kontrolna cifra - treba "&amp;L38,"✓ ispravan")))))</f>
        <v/>
      </c>
      <c r="K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L38">
        <f>IF(K38="","",IF(11-MOD(K38,11)&gt;9,0,11-MOD(K38,11)))</f>
        <v/>
      </c>
      <c r="M38">
        <f>IFERROR(IF(LEN(C38)&lt;&gt;13,"",IF(VALUE(MID(C38,5,3))&gt;=800,1000,2000)+VALUE(MID(C38,5,3))),"")</f>
        <v/>
      </c>
      <c r="N38">
        <f>IFERROR(IF(M38="","",IF(AND(DAY(DATE(M38,VALUE(MID(C38,3,2)),VALUE(MID(C38,1,2))))=VALUE(MID(C38,1,2)),MONTH(DATE(M38,VALUE(MID(C38,3,2)),VALUE(MID(C38,1,2))))=VALUE(MID(C38,3,2))),DATE(M38,VALUE(MID(C38,3,2)),VALUE(MID(C38,1,2))),"")),"")</f>
        <v/>
      </c>
    </row>
    <row r="39">
      <c r="A39" s="2" t="n"/>
      <c r="B39" s="2" t="n"/>
      <c r="C39" s="3" t="n"/>
      <c r="D39" s="2" t="n"/>
      <c r="E39" s="4">
        <f>IF(A39="","",5)</f>
        <v/>
      </c>
      <c r="F39" s="2" t="n"/>
      <c r="G39" s="4" t="n"/>
      <c r="H39" s="2" t="n"/>
      <c r="I39" s="2" t="n"/>
      <c r="J39" s="2">
        <f>IF(C39="","",IF(LEN(C39)&lt;&gt;13,"Nema 13 cifara (ima "&amp;LEN(C39)&amp;")",IF(L39="","JMBG sadrži nešto što nije cifra",IF(N39="","Nepostojeći datum rođenja",IF(VALUE(MID(C39,13,1))&lt;&gt;L39,"Pogrešna kontrolna cifra - treba "&amp;L39,"✓ ispravan")))))</f>
        <v/>
      </c>
      <c r="K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L39">
        <f>IF(K39="","",IF(11-MOD(K39,11)&gt;9,0,11-MOD(K39,11)))</f>
        <v/>
      </c>
      <c r="M39">
        <f>IFERROR(IF(LEN(C39)&lt;&gt;13,"",IF(VALUE(MID(C39,5,3))&gt;=800,1000,2000)+VALUE(MID(C39,5,3))),"")</f>
        <v/>
      </c>
      <c r="N39">
        <f>IFERROR(IF(M39="","",IF(AND(DAY(DATE(M39,VALUE(MID(C39,3,2)),VALUE(MID(C39,1,2))))=VALUE(MID(C39,1,2)),MONTH(DATE(M39,VALUE(MID(C39,3,2)),VALUE(MID(C39,1,2))))=VALUE(MID(C39,3,2))),DATE(M39,VALUE(MID(C39,3,2)),VALUE(MID(C39,1,2))),"")),"")</f>
        <v/>
      </c>
    </row>
    <row r="40">
      <c r="A40" s="2" t="n"/>
      <c r="B40" s="2" t="n"/>
      <c r="C40" s="3" t="n"/>
      <c r="D40" s="2" t="n"/>
      <c r="E40" s="4">
        <f>IF(A40="","",5)</f>
        <v/>
      </c>
      <c r="F40" s="2" t="n"/>
      <c r="G40" s="4" t="n"/>
      <c r="H40" s="2" t="n"/>
      <c r="I40" s="2" t="n"/>
      <c r="J40" s="2">
        <f>IF(C40="","",IF(LEN(C40)&lt;&gt;13,"Nema 13 cifara (ima "&amp;LEN(C40)&amp;")",IF(L40="","JMBG sadrži nešto što nije cifra",IF(N40="","Nepostojeći datum rođenja",IF(VALUE(MID(C40,13,1))&lt;&gt;L40,"Pogrešna kontrolna cifra - treba "&amp;L40,"✓ ispravan")))))</f>
        <v/>
      </c>
      <c r="K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L40">
        <f>IF(K40="","",IF(11-MOD(K40,11)&gt;9,0,11-MOD(K40,11)))</f>
        <v/>
      </c>
      <c r="M40">
        <f>IFERROR(IF(LEN(C40)&lt;&gt;13,"",IF(VALUE(MID(C40,5,3))&gt;=800,1000,2000)+VALUE(MID(C40,5,3))),"")</f>
        <v/>
      </c>
      <c r="N40">
        <f>IFERROR(IF(M40="","",IF(AND(DAY(DATE(M40,VALUE(MID(C40,3,2)),VALUE(MID(C40,1,2))))=VALUE(MID(C40,1,2)),MONTH(DATE(M40,VALUE(MID(C40,3,2)),VALUE(MID(C40,1,2))))=VALUE(MID(C40,3,2))),DATE(M40,VALUE(MID(C40,3,2)),VALUE(MID(C40,1,2))),"")),"")</f>
        <v/>
      </c>
    </row>
    <row r="41">
      <c r="A41" s="2" t="n"/>
      <c r="B41" s="2" t="n"/>
      <c r="C41" s="3" t="n"/>
      <c r="D41" s="2" t="n"/>
      <c r="E41" s="4">
        <f>IF(A41="","",5)</f>
        <v/>
      </c>
      <c r="F41" s="2" t="n"/>
      <c r="G41" s="4" t="n"/>
      <c r="H41" s="2" t="n"/>
      <c r="I41" s="2" t="n"/>
      <c r="J41" s="2">
        <f>IF(C41="","",IF(LEN(C41)&lt;&gt;13,"Nema 13 cifara (ima "&amp;LEN(C41)&amp;")",IF(L41="","JMBG sadrži nešto što nije cifra",IF(N41="","Nepostojeći datum rođenja",IF(VALUE(MID(C41,13,1))&lt;&gt;L41,"Pogrešna kontrolna cifra - treba "&amp;L41,"✓ ispravan")))))</f>
        <v/>
      </c>
      <c r="K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L41">
        <f>IF(K41="","",IF(11-MOD(K41,11)&gt;9,0,11-MOD(K41,11)))</f>
        <v/>
      </c>
      <c r="M41">
        <f>IFERROR(IF(LEN(C41)&lt;&gt;13,"",IF(VALUE(MID(C41,5,3))&gt;=800,1000,2000)+VALUE(MID(C41,5,3))),"")</f>
        <v/>
      </c>
      <c r="N41">
        <f>IFERROR(IF(M41="","",IF(AND(DAY(DATE(M41,VALUE(MID(C41,3,2)),VALUE(MID(C41,1,2))))=VALUE(MID(C41,1,2)),MONTH(DATE(M41,VALUE(MID(C41,3,2)),VALUE(MID(C41,1,2))))=VALUE(MID(C41,3,2))),DATE(M41,VALUE(MID(C41,3,2)),VALUE(MID(C41,1,2))),"")),"")</f>
        <v/>
      </c>
    </row>
    <row r="42">
      <c r="A42" s="2" t="n"/>
      <c r="B42" s="2" t="n"/>
      <c r="C42" s="3" t="n"/>
      <c r="D42" s="2" t="n"/>
      <c r="E42" s="4">
        <f>IF(A42="","",5)</f>
        <v/>
      </c>
      <c r="F42" s="2" t="n"/>
      <c r="G42" s="4" t="n"/>
      <c r="H42" s="2" t="n"/>
      <c r="I42" s="2" t="n"/>
      <c r="J42" s="2">
        <f>IF(C42="","",IF(LEN(C42)&lt;&gt;13,"Nema 13 cifara (ima "&amp;LEN(C42)&amp;")",IF(L42="","JMBG sadrži nešto što nije cifra",IF(N42="","Nepostojeći datum rođenja",IF(VALUE(MID(C42,13,1))&lt;&gt;L42,"Pogrešna kontrolna cifra - treba "&amp;L42,"✓ ispravan")))))</f>
        <v/>
      </c>
      <c r="K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L42">
        <f>IF(K42="","",IF(11-MOD(K42,11)&gt;9,0,11-MOD(K42,11)))</f>
        <v/>
      </c>
      <c r="M42">
        <f>IFERROR(IF(LEN(C42)&lt;&gt;13,"",IF(VALUE(MID(C42,5,3))&gt;=800,1000,2000)+VALUE(MID(C42,5,3))),"")</f>
        <v/>
      </c>
      <c r="N42">
        <f>IFERROR(IF(M42="","",IF(AND(DAY(DATE(M42,VALUE(MID(C42,3,2)),VALUE(MID(C42,1,2))))=VALUE(MID(C42,1,2)),MONTH(DATE(M42,VALUE(MID(C42,3,2)),VALUE(MID(C42,1,2))))=VALUE(MID(C42,3,2))),DATE(M42,VALUE(MID(C42,3,2)),VALUE(MID(C42,1,2))),"")),"")</f>
        <v/>
      </c>
    </row>
    <row r="43">
      <c r="A43" s="2" t="n"/>
      <c r="B43" s="2" t="n"/>
      <c r="C43" s="3" t="n"/>
      <c r="D43" s="2" t="n"/>
      <c r="E43" s="4">
        <f>IF(A43="","",5)</f>
        <v/>
      </c>
      <c r="F43" s="2" t="n"/>
      <c r="G43" s="4" t="n"/>
      <c r="H43" s="2" t="n"/>
      <c r="I43" s="2" t="n"/>
      <c r="J43" s="2">
        <f>IF(C43="","",IF(LEN(C43)&lt;&gt;13,"Nema 13 cifara (ima "&amp;LEN(C43)&amp;")",IF(L43="","JMBG sadrži nešto što nije cifra",IF(N43="","Nepostojeći datum rođenja",IF(VALUE(MID(C43,13,1))&lt;&gt;L43,"Pogrešna kontrolna cifra - treba "&amp;L43,"✓ ispravan")))))</f>
        <v/>
      </c>
      <c r="K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L43">
        <f>IF(K43="","",IF(11-MOD(K43,11)&gt;9,0,11-MOD(K43,11)))</f>
        <v/>
      </c>
      <c r="M43">
        <f>IFERROR(IF(LEN(C43)&lt;&gt;13,"",IF(VALUE(MID(C43,5,3))&gt;=800,1000,2000)+VALUE(MID(C43,5,3))),"")</f>
        <v/>
      </c>
      <c r="N43">
        <f>IFERROR(IF(M43="","",IF(AND(DAY(DATE(M43,VALUE(MID(C43,3,2)),VALUE(MID(C43,1,2))))=VALUE(MID(C43,1,2)),MONTH(DATE(M43,VALUE(MID(C43,3,2)),VALUE(MID(C43,1,2))))=VALUE(MID(C43,3,2))),DATE(M43,VALUE(MID(C43,3,2)),VALUE(MID(C43,1,2))),"")),"")</f>
        <v/>
      </c>
    </row>
    <row r="44">
      <c r="A44" s="2" t="n"/>
      <c r="B44" s="2" t="n"/>
      <c r="C44" s="3" t="n"/>
      <c r="D44" s="2" t="n"/>
      <c r="E44" s="4">
        <f>IF(A44="","",5)</f>
        <v/>
      </c>
      <c r="F44" s="2" t="n"/>
      <c r="G44" s="4" t="n"/>
      <c r="H44" s="2" t="n"/>
      <c r="I44" s="2" t="n"/>
      <c r="J44" s="2">
        <f>IF(C44="","",IF(LEN(C44)&lt;&gt;13,"Nema 13 cifara (ima "&amp;LEN(C44)&amp;")",IF(L44="","JMBG sadrži nešto što nije cifra",IF(N44="","Nepostojeći datum rođenja",IF(VALUE(MID(C44,13,1))&lt;&gt;L44,"Pogrešna kontrolna cifra - treba "&amp;L44,"✓ ispravan")))))</f>
        <v/>
      </c>
      <c r="K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L44">
        <f>IF(K44="","",IF(11-MOD(K44,11)&gt;9,0,11-MOD(K44,11)))</f>
        <v/>
      </c>
      <c r="M44">
        <f>IFERROR(IF(LEN(C44)&lt;&gt;13,"",IF(VALUE(MID(C44,5,3))&gt;=800,1000,2000)+VALUE(MID(C44,5,3))),"")</f>
        <v/>
      </c>
      <c r="N44">
        <f>IFERROR(IF(M44="","",IF(AND(DAY(DATE(M44,VALUE(MID(C44,3,2)),VALUE(MID(C44,1,2))))=VALUE(MID(C44,1,2)),MONTH(DATE(M44,VALUE(MID(C44,3,2)),VALUE(MID(C44,1,2))))=VALUE(MID(C44,3,2))),DATE(M44,VALUE(MID(C44,3,2)),VALUE(MID(C44,1,2))),"")),"")</f>
        <v/>
      </c>
    </row>
    <row r="45">
      <c r="A45" s="2" t="n"/>
      <c r="B45" s="2" t="n"/>
      <c r="C45" s="3" t="n"/>
      <c r="D45" s="2" t="n"/>
      <c r="E45" s="4">
        <f>IF(A45="","",5)</f>
        <v/>
      </c>
      <c r="F45" s="2" t="n"/>
      <c r="G45" s="4" t="n"/>
      <c r="H45" s="2" t="n"/>
      <c r="I45" s="2" t="n"/>
      <c r="J45" s="2">
        <f>IF(C45="","",IF(LEN(C45)&lt;&gt;13,"Nema 13 cifara (ima "&amp;LEN(C45)&amp;")",IF(L45="","JMBG sadrži nešto što nije cifra",IF(N45="","Nepostojeći datum rođenja",IF(VALUE(MID(C45,13,1))&lt;&gt;L45,"Pogrešna kontrolna cifra - treba "&amp;L45,"✓ ispravan")))))</f>
        <v/>
      </c>
      <c r="K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L45">
        <f>IF(K45="","",IF(11-MOD(K45,11)&gt;9,0,11-MOD(K45,11)))</f>
        <v/>
      </c>
      <c r="M45">
        <f>IFERROR(IF(LEN(C45)&lt;&gt;13,"",IF(VALUE(MID(C45,5,3))&gt;=800,1000,2000)+VALUE(MID(C45,5,3))),"")</f>
        <v/>
      </c>
      <c r="N45">
        <f>IFERROR(IF(M45="","",IF(AND(DAY(DATE(M45,VALUE(MID(C45,3,2)),VALUE(MID(C45,1,2))))=VALUE(MID(C45,1,2)),MONTH(DATE(M45,VALUE(MID(C45,3,2)),VALUE(MID(C45,1,2))))=VALUE(MID(C45,3,2))),DATE(M45,VALUE(MID(C45,3,2)),VALUE(MID(C45,1,2))),"")),"")</f>
        <v/>
      </c>
    </row>
    <row r="46">
      <c r="A46" s="2" t="n"/>
      <c r="B46" s="2" t="n"/>
      <c r="C46" s="3" t="n"/>
      <c r="D46" s="2" t="n"/>
      <c r="E46" s="4">
        <f>IF(A46="","",5)</f>
        <v/>
      </c>
      <c r="F46" s="2" t="n"/>
      <c r="G46" s="4" t="n"/>
      <c r="H46" s="2" t="n"/>
      <c r="I46" s="2" t="n"/>
      <c r="J46" s="2">
        <f>IF(C46="","",IF(LEN(C46)&lt;&gt;13,"Nema 13 cifara (ima "&amp;LEN(C46)&amp;")",IF(L46="","JMBG sadrži nešto što nije cifra",IF(N46="","Nepostojeći datum rođenja",IF(VALUE(MID(C46,13,1))&lt;&gt;L46,"Pogrešna kontrolna cifra - treba "&amp;L46,"✓ ispravan")))))</f>
        <v/>
      </c>
      <c r="K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L46">
        <f>IF(K46="","",IF(11-MOD(K46,11)&gt;9,0,11-MOD(K46,11)))</f>
        <v/>
      </c>
      <c r="M46">
        <f>IFERROR(IF(LEN(C46)&lt;&gt;13,"",IF(VALUE(MID(C46,5,3))&gt;=800,1000,2000)+VALUE(MID(C46,5,3))),"")</f>
        <v/>
      </c>
      <c r="N46">
        <f>IFERROR(IF(M46="","",IF(AND(DAY(DATE(M46,VALUE(MID(C46,3,2)),VALUE(MID(C46,1,2))))=VALUE(MID(C46,1,2)),MONTH(DATE(M46,VALUE(MID(C46,3,2)),VALUE(MID(C46,1,2))))=VALUE(MID(C46,3,2))),DATE(M46,VALUE(MID(C46,3,2)),VALUE(MID(C46,1,2))),"")),"")</f>
        <v/>
      </c>
    </row>
    <row r="47">
      <c r="A47" s="2" t="n"/>
      <c r="B47" s="2" t="n"/>
      <c r="C47" s="3" t="n"/>
      <c r="D47" s="2" t="n"/>
      <c r="E47" s="4">
        <f>IF(A47="","",5)</f>
        <v/>
      </c>
      <c r="F47" s="2" t="n"/>
      <c r="G47" s="4" t="n"/>
      <c r="H47" s="2" t="n"/>
      <c r="I47" s="2" t="n"/>
      <c r="J47" s="2">
        <f>IF(C47="","",IF(LEN(C47)&lt;&gt;13,"Nema 13 cifara (ima "&amp;LEN(C47)&amp;")",IF(L47="","JMBG sadrži nešto što nije cifra",IF(N47="","Nepostojeći datum rođenja",IF(VALUE(MID(C47,13,1))&lt;&gt;L47,"Pogrešna kontrolna cifra - treba "&amp;L47,"✓ ispravan")))))</f>
        <v/>
      </c>
      <c r="K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L47">
        <f>IF(K47="","",IF(11-MOD(K47,11)&gt;9,0,11-MOD(K47,11)))</f>
        <v/>
      </c>
      <c r="M47">
        <f>IFERROR(IF(LEN(C47)&lt;&gt;13,"",IF(VALUE(MID(C47,5,3))&gt;=800,1000,2000)+VALUE(MID(C47,5,3))),"")</f>
        <v/>
      </c>
      <c r="N47">
        <f>IFERROR(IF(M47="","",IF(AND(DAY(DATE(M47,VALUE(MID(C47,3,2)),VALUE(MID(C47,1,2))))=VALUE(MID(C47,1,2)),MONTH(DATE(M47,VALUE(MID(C47,3,2)),VALUE(MID(C47,1,2))))=VALUE(MID(C47,3,2))),DATE(M47,VALUE(MID(C47,3,2)),VALUE(MID(C47,1,2))),"")),"")</f>
        <v/>
      </c>
    </row>
    <row r="48">
      <c r="A48" s="2" t="n"/>
      <c r="B48" s="2" t="n"/>
      <c r="C48" s="3" t="n"/>
      <c r="D48" s="2" t="n"/>
      <c r="E48" s="4">
        <f>IF(A48="","",5)</f>
        <v/>
      </c>
      <c r="F48" s="2" t="n"/>
      <c r="G48" s="4" t="n"/>
      <c r="H48" s="2" t="n"/>
      <c r="I48" s="2" t="n"/>
      <c r="J48" s="2">
        <f>IF(C48="","",IF(LEN(C48)&lt;&gt;13,"Nema 13 cifara (ima "&amp;LEN(C48)&amp;")",IF(L48="","JMBG sadrži nešto što nije cifra",IF(N48="","Nepostojeći datum rođenja",IF(VALUE(MID(C48,13,1))&lt;&gt;L48,"Pogrešna kontrolna cifra - treba "&amp;L48,"✓ ispravan")))))</f>
        <v/>
      </c>
      <c r="K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L48">
        <f>IF(K48="","",IF(11-MOD(K48,11)&gt;9,0,11-MOD(K48,11)))</f>
        <v/>
      </c>
      <c r="M48">
        <f>IFERROR(IF(LEN(C48)&lt;&gt;13,"",IF(VALUE(MID(C48,5,3))&gt;=800,1000,2000)+VALUE(MID(C48,5,3))),"")</f>
        <v/>
      </c>
      <c r="N48">
        <f>IFERROR(IF(M48="","",IF(AND(DAY(DATE(M48,VALUE(MID(C48,3,2)),VALUE(MID(C48,1,2))))=VALUE(MID(C48,1,2)),MONTH(DATE(M48,VALUE(MID(C48,3,2)),VALUE(MID(C48,1,2))))=VALUE(MID(C48,3,2))),DATE(M48,VALUE(MID(C48,3,2)),VALUE(MID(C48,1,2))),"")),"")</f>
        <v/>
      </c>
    </row>
    <row r="49">
      <c r="A49" s="2" t="n"/>
      <c r="B49" s="2" t="n"/>
      <c r="C49" s="3" t="n"/>
      <c r="D49" s="2" t="n"/>
      <c r="E49" s="4">
        <f>IF(A49="","",5)</f>
        <v/>
      </c>
      <c r="F49" s="2" t="n"/>
      <c r="G49" s="4" t="n"/>
      <c r="H49" s="2" t="n"/>
      <c r="I49" s="2" t="n"/>
      <c r="J49" s="2">
        <f>IF(C49="","",IF(LEN(C49)&lt;&gt;13,"Nema 13 cifara (ima "&amp;LEN(C49)&amp;")",IF(L49="","JMBG sadrži nešto što nije cifra",IF(N49="","Nepostojeći datum rođenja",IF(VALUE(MID(C49,13,1))&lt;&gt;L49,"Pogrešna kontrolna cifra - treba "&amp;L49,"✓ ispravan")))))</f>
        <v/>
      </c>
      <c r="K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L49">
        <f>IF(K49="","",IF(11-MOD(K49,11)&gt;9,0,11-MOD(K49,11)))</f>
        <v/>
      </c>
      <c r="M49">
        <f>IFERROR(IF(LEN(C49)&lt;&gt;13,"",IF(VALUE(MID(C49,5,3))&gt;=800,1000,2000)+VALUE(MID(C49,5,3))),"")</f>
        <v/>
      </c>
      <c r="N49">
        <f>IFERROR(IF(M49="","",IF(AND(DAY(DATE(M49,VALUE(MID(C49,3,2)),VALUE(MID(C49,1,2))))=VALUE(MID(C49,1,2)),MONTH(DATE(M49,VALUE(MID(C49,3,2)),VALUE(MID(C49,1,2))))=VALUE(MID(C49,3,2))),DATE(M49,VALUE(MID(C49,3,2)),VALUE(MID(C49,1,2))),"")),"")</f>
        <v/>
      </c>
    </row>
    <row r="50">
      <c r="A50" s="2" t="n"/>
      <c r="B50" s="2" t="n"/>
      <c r="C50" s="3" t="n"/>
      <c r="D50" s="2" t="n"/>
      <c r="E50" s="4">
        <f>IF(A50="","",5)</f>
        <v/>
      </c>
      <c r="F50" s="2" t="n"/>
      <c r="G50" s="4" t="n"/>
      <c r="H50" s="2" t="n"/>
      <c r="I50" s="2" t="n"/>
      <c r="J50" s="2">
        <f>IF(C50="","",IF(LEN(C50)&lt;&gt;13,"Nema 13 cifara (ima "&amp;LEN(C50)&amp;")",IF(L50="","JMBG sadrži nešto što nije cifra",IF(N50="","Nepostojeći datum rođenja",IF(VALUE(MID(C50,13,1))&lt;&gt;L50,"Pogrešna kontrolna cifra - treba "&amp;L50,"✓ ispravan")))))</f>
        <v/>
      </c>
      <c r="K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L50">
        <f>IF(K50="","",IF(11-MOD(K50,11)&gt;9,0,11-MOD(K50,11)))</f>
        <v/>
      </c>
      <c r="M50">
        <f>IFERROR(IF(LEN(C50)&lt;&gt;13,"",IF(VALUE(MID(C50,5,3))&gt;=800,1000,2000)+VALUE(MID(C50,5,3))),"")</f>
        <v/>
      </c>
      <c r="N50">
        <f>IFERROR(IF(M50="","",IF(AND(DAY(DATE(M50,VALUE(MID(C50,3,2)),VALUE(MID(C50,1,2))))=VALUE(MID(C50,1,2)),MONTH(DATE(M50,VALUE(MID(C50,3,2)),VALUE(MID(C50,1,2))))=VALUE(MID(C50,3,2))),DATE(M50,VALUE(MID(C50,3,2)),VALUE(MID(C50,1,2))),"")),"")</f>
        <v/>
      </c>
    </row>
    <row r="51">
      <c r="A51" s="2" t="n"/>
      <c r="B51" s="2" t="n"/>
      <c r="C51" s="3" t="n"/>
      <c r="D51" s="2" t="n"/>
      <c r="E51" s="4">
        <f>IF(A51="","",5)</f>
        <v/>
      </c>
      <c r="F51" s="2" t="n"/>
      <c r="G51" s="4" t="n"/>
      <c r="H51" s="2" t="n"/>
      <c r="I51" s="2" t="n"/>
      <c r="J51" s="2">
        <f>IF(C51="","",IF(LEN(C51)&lt;&gt;13,"Nema 13 cifara (ima "&amp;LEN(C51)&amp;")",IF(L51="","JMBG sadrži nešto što nije cifra",IF(N51="","Nepostojeći datum rođenja",IF(VALUE(MID(C51,13,1))&lt;&gt;L51,"Pogrešna kontrolna cifra - treba "&amp;L51,"✓ ispravan")))))</f>
        <v/>
      </c>
      <c r="K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L51">
        <f>IF(K51="","",IF(11-MOD(K51,11)&gt;9,0,11-MOD(K51,11)))</f>
        <v/>
      </c>
      <c r="M51">
        <f>IFERROR(IF(LEN(C51)&lt;&gt;13,"",IF(VALUE(MID(C51,5,3))&gt;=800,1000,2000)+VALUE(MID(C51,5,3))),"")</f>
        <v/>
      </c>
      <c r="N51">
        <f>IFERROR(IF(M51="","",IF(AND(DAY(DATE(M51,VALUE(MID(C51,3,2)),VALUE(MID(C51,1,2))))=VALUE(MID(C51,1,2)),MONTH(DATE(M51,VALUE(MID(C51,3,2)),VALUE(MID(C51,1,2))))=VALUE(MID(C51,3,2))),DATE(M51,VALUE(MID(C51,3,2)),VALUE(MID(C51,1,2))),"")),"")</f>
        <v/>
      </c>
    </row>
    <row r="52">
      <c r="A52" s="2" t="n"/>
      <c r="B52" s="2" t="n"/>
      <c r="C52" s="3" t="n"/>
      <c r="D52" s="2" t="n"/>
      <c r="E52" s="4">
        <f>IF(A52="","",5)</f>
        <v/>
      </c>
      <c r="F52" s="2" t="n"/>
      <c r="G52" s="4" t="n"/>
      <c r="H52" s="2" t="n"/>
      <c r="I52" s="2" t="n"/>
      <c r="J52" s="2">
        <f>IF(C52="","",IF(LEN(C52)&lt;&gt;13,"Nema 13 cifara (ima "&amp;LEN(C52)&amp;")",IF(L52="","JMBG sadrži nešto što nije cifra",IF(N52="","Nepostojeći datum rođenja",IF(VALUE(MID(C52,13,1))&lt;&gt;L52,"Pogrešna kontrolna cifra - treba "&amp;L52,"✓ ispravan")))))</f>
        <v/>
      </c>
      <c r="K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L52">
        <f>IF(K52="","",IF(11-MOD(K52,11)&gt;9,0,11-MOD(K52,11)))</f>
        <v/>
      </c>
      <c r="M52">
        <f>IFERROR(IF(LEN(C52)&lt;&gt;13,"",IF(VALUE(MID(C52,5,3))&gt;=800,1000,2000)+VALUE(MID(C52,5,3))),"")</f>
        <v/>
      </c>
      <c r="N52">
        <f>IFERROR(IF(M52="","",IF(AND(DAY(DATE(M52,VALUE(MID(C52,3,2)),VALUE(MID(C52,1,2))))=VALUE(MID(C52,1,2)),MONTH(DATE(M52,VALUE(MID(C52,3,2)),VALUE(MID(C52,1,2))))=VALUE(MID(C52,3,2))),DATE(M52,VALUE(MID(C52,3,2)),VALUE(MID(C52,1,2))),"")),"")</f>
        <v/>
      </c>
    </row>
    <row r="53">
      <c r="A53" s="2" t="n"/>
      <c r="B53" s="2" t="n"/>
      <c r="C53" s="3" t="n"/>
      <c r="D53" s="2" t="n"/>
      <c r="E53" s="4">
        <f>IF(A53="","",5)</f>
        <v/>
      </c>
      <c r="F53" s="2" t="n"/>
      <c r="G53" s="4" t="n"/>
      <c r="H53" s="2" t="n"/>
      <c r="I53" s="2" t="n"/>
      <c r="J53" s="2">
        <f>IF(C53="","",IF(LEN(C53)&lt;&gt;13,"Nema 13 cifara (ima "&amp;LEN(C53)&amp;")",IF(L53="","JMBG sadrži nešto što nije cifra",IF(N53="","Nepostojeći datum rođenja",IF(VALUE(MID(C53,13,1))&lt;&gt;L53,"Pogrešna kontrolna cifra - treba "&amp;L53,"✓ ispravan")))))</f>
        <v/>
      </c>
      <c r="K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L53">
        <f>IF(K53="","",IF(11-MOD(K53,11)&gt;9,0,11-MOD(K53,11)))</f>
        <v/>
      </c>
      <c r="M53">
        <f>IFERROR(IF(LEN(C53)&lt;&gt;13,"",IF(VALUE(MID(C53,5,3))&gt;=800,1000,2000)+VALUE(MID(C53,5,3))),"")</f>
        <v/>
      </c>
      <c r="N53">
        <f>IFERROR(IF(M53="","",IF(AND(DAY(DATE(M53,VALUE(MID(C53,3,2)),VALUE(MID(C53,1,2))))=VALUE(MID(C53,1,2)),MONTH(DATE(M53,VALUE(MID(C53,3,2)),VALUE(MID(C53,1,2))))=VALUE(MID(C53,3,2))),DATE(M53,VALUE(MID(C53,3,2)),VALUE(MID(C53,1,2))),"")),"")</f>
        <v/>
      </c>
    </row>
    <row r="54">
      <c r="A54" s="2" t="n"/>
      <c r="B54" s="2" t="n"/>
      <c r="C54" s="3" t="n"/>
      <c r="D54" s="2" t="n"/>
      <c r="E54" s="4">
        <f>IF(A54="","",5)</f>
        <v/>
      </c>
      <c r="F54" s="2" t="n"/>
      <c r="G54" s="4" t="n"/>
      <c r="H54" s="2" t="n"/>
      <c r="I54" s="2" t="n"/>
      <c r="J54" s="2">
        <f>IF(C54="","",IF(LEN(C54)&lt;&gt;13,"Nema 13 cifara (ima "&amp;LEN(C54)&amp;")",IF(L54="","JMBG sadrži nešto što nije cifra",IF(N54="","Nepostojeći datum rođenja",IF(VALUE(MID(C54,13,1))&lt;&gt;L54,"Pogrešna kontrolna cifra - treba "&amp;L54,"✓ ispravan")))))</f>
        <v/>
      </c>
      <c r="K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L54">
        <f>IF(K54="","",IF(11-MOD(K54,11)&gt;9,0,11-MOD(K54,11)))</f>
        <v/>
      </c>
      <c r="M54">
        <f>IFERROR(IF(LEN(C54)&lt;&gt;13,"",IF(VALUE(MID(C54,5,3))&gt;=800,1000,2000)+VALUE(MID(C54,5,3))),"")</f>
        <v/>
      </c>
      <c r="N54">
        <f>IFERROR(IF(M54="","",IF(AND(DAY(DATE(M54,VALUE(MID(C54,3,2)),VALUE(MID(C54,1,2))))=VALUE(MID(C54,1,2)),MONTH(DATE(M54,VALUE(MID(C54,3,2)),VALUE(MID(C54,1,2))))=VALUE(MID(C54,3,2))),DATE(M54,VALUE(MID(C54,3,2)),VALUE(MID(C54,1,2))),"")),"")</f>
        <v/>
      </c>
    </row>
    <row r="55">
      <c r="A55" s="2" t="n"/>
      <c r="B55" s="2" t="n"/>
      <c r="C55" s="3" t="n"/>
      <c r="D55" s="2" t="n"/>
      <c r="E55" s="4">
        <f>IF(A55="","",5)</f>
        <v/>
      </c>
      <c r="F55" s="2" t="n"/>
      <c r="G55" s="4" t="n"/>
      <c r="H55" s="2" t="n"/>
      <c r="I55" s="2" t="n"/>
      <c r="J55" s="2">
        <f>IF(C55="","",IF(LEN(C55)&lt;&gt;13,"Nema 13 cifara (ima "&amp;LEN(C55)&amp;")",IF(L55="","JMBG sadrži nešto što nije cifra",IF(N55="","Nepostojeći datum rođenja",IF(VALUE(MID(C55,13,1))&lt;&gt;L55,"Pogrešna kontrolna cifra - treba "&amp;L55,"✓ ispravan")))))</f>
        <v/>
      </c>
      <c r="K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L55">
        <f>IF(K55="","",IF(11-MOD(K55,11)&gt;9,0,11-MOD(K55,11)))</f>
        <v/>
      </c>
      <c r="M55">
        <f>IFERROR(IF(LEN(C55)&lt;&gt;13,"",IF(VALUE(MID(C55,5,3))&gt;=800,1000,2000)+VALUE(MID(C55,5,3))),"")</f>
        <v/>
      </c>
      <c r="N55">
        <f>IFERROR(IF(M55="","",IF(AND(DAY(DATE(M55,VALUE(MID(C55,3,2)),VALUE(MID(C55,1,2))))=VALUE(MID(C55,1,2)),MONTH(DATE(M55,VALUE(MID(C55,3,2)),VALUE(MID(C55,1,2))))=VALUE(MID(C55,3,2))),DATE(M55,VALUE(MID(C55,3,2)),VALUE(MID(C55,1,2))),"")),"")</f>
        <v/>
      </c>
    </row>
    <row r="56">
      <c r="A56" s="2" t="n"/>
      <c r="B56" s="2" t="n"/>
      <c r="C56" s="3" t="n"/>
      <c r="D56" s="2" t="n"/>
      <c r="E56" s="4">
        <f>IF(A56="","",5)</f>
        <v/>
      </c>
      <c r="F56" s="2" t="n"/>
      <c r="G56" s="4" t="n"/>
      <c r="H56" s="2" t="n"/>
      <c r="I56" s="2" t="n"/>
      <c r="J56" s="2">
        <f>IF(C56="","",IF(LEN(C56)&lt;&gt;13,"Nema 13 cifara (ima "&amp;LEN(C56)&amp;")",IF(L56="","JMBG sadrži nešto što nije cifra",IF(N56="","Nepostojeći datum rođenja",IF(VALUE(MID(C56,13,1))&lt;&gt;L56,"Pogrešna kontrolna cifra - treba "&amp;L56,"✓ ispravan")))))</f>
        <v/>
      </c>
      <c r="K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L56">
        <f>IF(K56="","",IF(11-MOD(K56,11)&gt;9,0,11-MOD(K56,11)))</f>
        <v/>
      </c>
      <c r="M56">
        <f>IFERROR(IF(LEN(C56)&lt;&gt;13,"",IF(VALUE(MID(C56,5,3))&gt;=800,1000,2000)+VALUE(MID(C56,5,3))),"")</f>
        <v/>
      </c>
      <c r="N56">
        <f>IFERROR(IF(M56="","",IF(AND(DAY(DATE(M56,VALUE(MID(C56,3,2)),VALUE(MID(C56,1,2))))=VALUE(MID(C56,1,2)),MONTH(DATE(M56,VALUE(MID(C56,3,2)),VALUE(MID(C56,1,2))))=VALUE(MID(C56,3,2))),DATE(M56,VALUE(MID(C56,3,2)),VALUE(MID(C56,1,2))),"")),"")</f>
        <v/>
      </c>
    </row>
    <row r="57">
      <c r="A57" s="2" t="n"/>
      <c r="B57" s="2" t="n"/>
      <c r="C57" s="3" t="n"/>
      <c r="D57" s="2" t="n"/>
      <c r="E57" s="4">
        <f>IF(A57="","",5)</f>
        <v/>
      </c>
      <c r="F57" s="2" t="n"/>
      <c r="G57" s="4" t="n"/>
      <c r="H57" s="2" t="n"/>
      <c r="I57" s="2" t="n"/>
      <c r="J57" s="2">
        <f>IF(C57="","",IF(LEN(C57)&lt;&gt;13,"Nema 13 cifara (ima "&amp;LEN(C57)&amp;")",IF(L57="","JMBG sadrži nešto što nije cifra",IF(N57="","Nepostojeći datum rođenja",IF(VALUE(MID(C57,13,1))&lt;&gt;L57,"Pogrešna kontrolna cifra - treba "&amp;L57,"✓ ispravan")))))</f>
        <v/>
      </c>
      <c r="K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L57">
        <f>IF(K57="","",IF(11-MOD(K57,11)&gt;9,0,11-MOD(K57,11)))</f>
        <v/>
      </c>
      <c r="M57">
        <f>IFERROR(IF(LEN(C57)&lt;&gt;13,"",IF(VALUE(MID(C57,5,3))&gt;=800,1000,2000)+VALUE(MID(C57,5,3))),"")</f>
        <v/>
      </c>
      <c r="N57">
        <f>IFERROR(IF(M57="","",IF(AND(DAY(DATE(M57,VALUE(MID(C57,3,2)),VALUE(MID(C57,1,2))))=VALUE(MID(C57,1,2)),MONTH(DATE(M57,VALUE(MID(C57,3,2)),VALUE(MID(C57,1,2))))=VALUE(MID(C57,3,2))),DATE(M57,VALUE(MID(C57,3,2)),VALUE(MID(C57,1,2))),"")),"")</f>
        <v/>
      </c>
    </row>
    <row r="58">
      <c r="A58" s="2" t="n"/>
      <c r="B58" s="2" t="n"/>
      <c r="C58" s="3" t="n"/>
      <c r="D58" s="2" t="n"/>
      <c r="E58" s="4">
        <f>IF(A58="","",5)</f>
        <v/>
      </c>
      <c r="F58" s="2" t="n"/>
      <c r="G58" s="4" t="n"/>
      <c r="H58" s="2" t="n"/>
      <c r="I58" s="2" t="n"/>
      <c r="J58" s="2">
        <f>IF(C58="","",IF(LEN(C58)&lt;&gt;13,"Nema 13 cifara (ima "&amp;LEN(C58)&amp;")",IF(L58="","JMBG sadrži nešto što nije cifra",IF(N58="","Nepostojeći datum rođenja",IF(VALUE(MID(C58,13,1))&lt;&gt;L58,"Pogrešna kontrolna cifra - treba "&amp;L58,"✓ ispravan")))))</f>
        <v/>
      </c>
      <c r="K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L58">
        <f>IF(K58="","",IF(11-MOD(K58,11)&gt;9,0,11-MOD(K58,11)))</f>
        <v/>
      </c>
      <c r="M58">
        <f>IFERROR(IF(LEN(C58)&lt;&gt;13,"",IF(VALUE(MID(C58,5,3))&gt;=800,1000,2000)+VALUE(MID(C58,5,3))),"")</f>
        <v/>
      </c>
      <c r="N58">
        <f>IFERROR(IF(M58="","",IF(AND(DAY(DATE(M58,VALUE(MID(C58,3,2)),VALUE(MID(C58,1,2))))=VALUE(MID(C58,1,2)),MONTH(DATE(M58,VALUE(MID(C58,3,2)),VALUE(MID(C58,1,2))))=VALUE(MID(C58,3,2))),DATE(M58,VALUE(MID(C58,3,2)),VALUE(MID(C58,1,2))),"")),"")</f>
        <v/>
      </c>
    </row>
    <row r="59">
      <c r="A59" s="2" t="n"/>
      <c r="B59" s="2" t="n"/>
      <c r="C59" s="3" t="n"/>
      <c r="D59" s="2" t="n"/>
      <c r="E59" s="4">
        <f>IF(A59="","",5)</f>
        <v/>
      </c>
      <c r="F59" s="2" t="n"/>
      <c r="G59" s="4" t="n"/>
      <c r="H59" s="2" t="n"/>
      <c r="I59" s="2" t="n"/>
      <c r="J59" s="2">
        <f>IF(C59="","",IF(LEN(C59)&lt;&gt;13,"Nema 13 cifara (ima "&amp;LEN(C59)&amp;")",IF(L59="","JMBG sadrži nešto što nije cifra",IF(N59="","Nepostojeći datum rođenja",IF(VALUE(MID(C59,13,1))&lt;&gt;L59,"Pogrešna kontrolna cifra - treba "&amp;L59,"✓ ispravan")))))</f>
        <v/>
      </c>
      <c r="K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L59">
        <f>IF(K59="","",IF(11-MOD(K59,11)&gt;9,0,11-MOD(K59,11)))</f>
        <v/>
      </c>
      <c r="M59">
        <f>IFERROR(IF(LEN(C59)&lt;&gt;13,"",IF(VALUE(MID(C59,5,3))&gt;=800,1000,2000)+VALUE(MID(C59,5,3))),"")</f>
        <v/>
      </c>
      <c r="N59">
        <f>IFERROR(IF(M59="","",IF(AND(DAY(DATE(M59,VALUE(MID(C59,3,2)),VALUE(MID(C59,1,2))))=VALUE(MID(C59,1,2)),MONTH(DATE(M59,VALUE(MID(C59,3,2)),VALUE(MID(C59,1,2))))=VALUE(MID(C59,3,2))),DATE(M59,VALUE(MID(C59,3,2)),VALUE(MID(C59,1,2))),"")),"")</f>
        <v/>
      </c>
    </row>
    <row r="60">
      <c r="A60" s="2" t="n"/>
      <c r="B60" s="2" t="n"/>
      <c r="C60" s="3" t="n"/>
      <c r="D60" s="2" t="n"/>
      <c r="E60" s="4">
        <f>IF(A60="","",5)</f>
        <v/>
      </c>
      <c r="F60" s="2" t="n"/>
      <c r="G60" s="4" t="n"/>
      <c r="H60" s="2" t="n"/>
      <c r="I60" s="2" t="n"/>
      <c r="J60" s="2">
        <f>IF(C60="","",IF(LEN(C60)&lt;&gt;13,"Nema 13 cifara (ima "&amp;LEN(C60)&amp;")",IF(L60="","JMBG sadrži nešto što nije cifra",IF(N60="","Nepostojeći datum rođenja",IF(VALUE(MID(C60,13,1))&lt;&gt;L60,"Pogrešna kontrolna cifra - treba "&amp;L60,"✓ ispravan")))))</f>
        <v/>
      </c>
      <c r="K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L60">
        <f>IF(K60="","",IF(11-MOD(K60,11)&gt;9,0,11-MOD(K60,11)))</f>
        <v/>
      </c>
      <c r="M60">
        <f>IFERROR(IF(LEN(C60)&lt;&gt;13,"",IF(VALUE(MID(C60,5,3))&gt;=800,1000,2000)+VALUE(MID(C60,5,3))),"")</f>
        <v/>
      </c>
      <c r="N60">
        <f>IFERROR(IF(M60="","",IF(AND(DAY(DATE(M60,VALUE(MID(C60,3,2)),VALUE(MID(C60,1,2))))=VALUE(MID(C60,1,2)),MONTH(DATE(M60,VALUE(MID(C60,3,2)),VALUE(MID(C60,1,2))))=VALUE(MID(C60,3,2))),DATE(M60,VALUE(MID(C60,3,2)),VALUE(MID(C60,1,2))),"")),"")</f>
        <v/>
      </c>
    </row>
    <row r="61">
      <c r="A61" s="2" t="n"/>
      <c r="B61" s="2" t="n"/>
      <c r="C61" s="3" t="n"/>
      <c r="D61" s="2" t="n"/>
      <c r="E61" s="4">
        <f>IF(A61="","",5)</f>
        <v/>
      </c>
      <c r="F61" s="2" t="n"/>
      <c r="G61" s="4" t="n"/>
      <c r="H61" s="2" t="n"/>
      <c r="I61" s="2" t="n"/>
      <c r="J61" s="2">
        <f>IF(C61="","",IF(LEN(C61)&lt;&gt;13,"Nema 13 cifara (ima "&amp;LEN(C61)&amp;")",IF(L61="","JMBG sadrži nešto što nije cifra",IF(N61="","Nepostojeći datum rođenja",IF(VALUE(MID(C61,13,1))&lt;&gt;L61,"Pogrešna kontrolna cifra - treba "&amp;L61,"✓ ispravan")))))</f>
        <v/>
      </c>
      <c r="K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L61">
        <f>IF(K61="","",IF(11-MOD(K61,11)&gt;9,0,11-MOD(K61,11)))</f>
        <v/>
      </c>
      <c r="M61">
        <f>IFERROR(IF(LEN(C61)&lt;&gt;13,"",IF(VALUE(MID(C61,5,3))&gt;=800,1000,2000)+VALUE(MID(C61,5,3))),"")</f>
        <v/>
      </c>
      <c r="N61">
        <f>IFERROR(IF(M61="","",IF(AND(DAY(DATE(M61,VALUE(MID(C61,3,2)),VALUE(MID(C61,1,2))))=VALUE(MID(C61,1,2)),MONTH(DATE(M61,VALUE(MID(C61,3,2)),VALUE(MID(C61,1,2))))=VALUE(MID(C61,3,2))),DATE(M61,VALUE(MID(C61,3,2)),VALUE(MID(C61,1,2))),"")),"")</f>
        <v/>
      </c>
    </row>
    <row r="62">
      <c r="A62" s="2" t="n"/>
      <c r="B62" s="2" t="n"/>
      <c r="C62" s="3" t="n"/>
      <c r="D62" s="2" t="n"/>
      <c r="E62" s="4">
        <f>IF(A62="","",5)</f>
        <v/>
      </c>
      <c r="F62" s="2" t="n"/>
      <c r="G62" s="4" t="n"/>
      <c r="H62" s="2" t="n"/>
      <c r="I62" s="2" t="n"/>
      <c r="J62" s="2">
        <f>IF(C62="","",IF(LEN(C62)&lt;&gt;13,"Nema 13 cifara (ima "&amp;LEN(C62)&amp;")",IF(L62="","JMBG sadrži nešto što nije cifra",IF(N62="","Nepostojeći datum rođenja",IF(VALUE(MID(C62,13,1))&lt;&gt;L62,"Pogrešna kontrolna cifra - treba "&amp;L62,"✓ ispravan")))))</f>
        <v/>
      </c>
      <c r="K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L62">
        <f>IF(K62="","",IF(11-MOD(K62,11)&gt;9,0,11-MOD(K62,11)))</f>
        <v/>
      </c>
      <c r="M62">
        <f>IFERROR(IF(LEN(C62)&lt;&gt;13,"",IF(VALUE(MID(C62,5,3))&gt;=800,1000,2000)+VALUE(MID(C62,5,3))),"")</f>
        <v/>
      </c>
      <c r="N62">
        <f>IFERROR(IF(M62="","",IF(AND(DAY(DATE(M62,VALUE(MID(C62,3,2)),VALUE(MID(C62,1,2))))=VALUE(MID(C62,1,2)),MONTH(DATE(M62,VALUE(MID(C62,3,2)),VALUE(MID(C62,1,2))))=VALUE(MID(C62,3,2))),DATE(M62,VALUE(MID(C62,3,2)),VALUE(MID(C62,1,2))),"")),"")</f>
        <v/>
      </c>
    </row>
    <row r="63">
      <c r="A63" s="2" t="n"/>
      <c r="B63" s="2" t="n"/>
      <c r="C63" s="3" t="n"/>
      <c r="D63" s="2" t="n"/>
      <c r="E63" s="4">
        <f>IF(A63="","",5)</f>
        <v/>
      </c>
      <c r="F63" s="2" t="n"/>
      <c r="G63" s="4" t="n"/>
      <c r="H63" s="2" t="n"/>
      <c r="I63" s="2" t="n"/>
      <c r="J63" s="2">
        <f>IF(C63="","",IF(LEN(C63)&lt;&gt;13,"Nema 13 cifara (ima "&amp;LEN(C63)&amp;")",IF(L63="","JMBG sadrži nešto što nije cifra",IF(N63="","Nepostojeći datum rođenja",IF(VALUE(MID(C63,13,1))&lt;&gt;L63,"Pogrešna kontrolna cifra - treba "&amp;L63,"✓ ispravan")))))</f>
        <v/>
      </c>
      <c r="K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L63">
        <f>IF(K63="","",IF(11-MOD(K63,11)&gt;9,0,11-MOD(K63,11)))</f>
        <v/>
      </c>
      <c r="M63">
        <f>IFERROR(IF(LEN(C63)&lt;&gt;13,"",IF(VALUE(MID(C63,5,3))&gt;=800,1000,2000)+VALUE(MID(C63,5,3))),"")</f>
        <v/>
      </c>
      <c r="N63">
        <f>IFERROR(IF(M63="","",IF(AND(DAY(DATE(M63,VALUE(MID(C63,3,2)),VALUE(MID(C63,1,2))))=VALUE(MID(C63,1,2)),MONTH(DATE(M63,VALUE(MID(C63,3,2)),VALUE(MID(C63,1,2))))=VALUE(MID(C63,3,2))),DATE(M63,VALUE(MID(C63,3,2)),VALUE(MID(C63,1,2))),"")),"")</f>
        <v/>
      </c>
    </row>
    <row r="64">
      <c r="A64" s="2" t="n"/>
      <c r="B64" s="2" t="n"/>
      <c r="C64" s="3" t="n"/>
      <c r="D64" s="2" t="n"/>
      <c r="E64" s="4">
        <f>IF(A64="","",5)</f>
        <v/>
      </c>
      <c r="F64" s="2" t="n"/>
      <c r="G64" s="4" t="n"/>
      <c r="H64" s="2" t="n"/>
      <c r="I64" s="2" t="n"/>
      <c r="J64" s="2">
        <f>IF(C64="","",IF(LEN(C64)&lt;&gt;13,"Nema 13 cifara (ima "&amp;LEN(C64)&amp;")",IF(L64="","JMBG sadrži nešto što nije cifra",IF(N64="","Nepostojeći datum rođenja",IF(VALUE(MID(C64,13,1))&lt;&gt;L64,"Pogrešna kontrolna cifra - treba "&amp;L64,"✓ ispravan")))))</f>
        <v/>
      </c>
      <c r="K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L64">
        <f>IF(K64="","",IF(11-MOD(K64,11)&gt;9,0,11-MOD(K64,11)))</f>
        <v/>
      </c>
      <c r="M64">
        <f>IFERROR(IF(LEN(C64)&lt;&gt;13,"",IF(VALUE(MID(C64,5,3))&gt;=800,1000,2000)+VALUE(MID(C64,5,3))),"")</f>
        <v/>
      </c>
      <c r="N64">
        <f>IFERROR(IF(M64="","",IF(AND(DAY(DATE(M64,VALUE(MID(C64,3,2)),VALUE(MID(C64,1,2))))=VALUE(MID(C64,1,2)),MONTH(DATE(M64,VALUE(MID(C64,3,2)),VALUE(MID(C64,1,2))))=VALUE(MID(C64,3,2))),DATE(M64,VALUE(MID(C64,3,2)),VALUE(MID(C64,1,2))),"")),"")</f>
        <v/>
      </c>
    </row>
    <row r="65">
      <c r="A65" s="2" t="n"/>
      <c r="B65" s="2" t="n"/>
      <c r="C65" s="3" t="n"/>
      <c r="D65" s="2" t="n"/>
      <c r="E65" s="4">
        <f>IF(A65="","",5)</f>
        <v/>
      </c>
      <c r="F65" s="2" t="n"/>
      <c r="G65" s="4" t="n"/>
      <c r="H65" s="2" t="n"/>
      <c r="I65" s="2" t="n"/>
      <c r="J65" s="2">
        <f>IF(C65="","",IF(LEN(C65)&lt;&gt;13,"Nema 13 cifara (ima "&amp;LEN(C65)&amp;")",IF(L65="","JMBG sadrži nešto što nije cifra",IF(N65="","Nepostojeći datum rođenja",IF(VALUE(MID(C65,13,1))&lt;&gt;L65,"Pogrešna kontrolna cifra - treba "&amp;L65,"✓ ispravan")))))</f>
        <v/>
      </c>
      <c r="K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L65">
        <f>IF(K65="","",IF(11-MOD(K65,11)&gt;9,0,11-MOD(K65,11)))</f>
        <v/>
      </c>
      <c r="M65">
        <f>IFERROR(IF(LEN(C65)&lt;&gt;13,"",IF(VALUE(MID(C65,5,3))&gt;=800,1000,2000)+VALUE(MID(C65,5,3))),"")</f>
        <v/>
      </c>
      <c r="N65">
        <f>IFERROR(IF(M65="","",IF(AND(DAY(DATE(M65,VALUE(MID(C65,3,2)),VALUE(MID(C65,1,2))))=VALUE(MID(C65,1,2)),MONTH(DATE(M65,VALUE(MID(C65,3,2)),VALUE(MID(C65,1,2))))=VALUE(MID(C65,3,2))),DATE(M65,VALUE(MID(C65,3,2)),VALUE(MID(C65,1,2))),"")),"")</f>
        <v/>
      </c>
    </row>
    <row r="66">
      <c r="A66" s="2" t="n"/>
      <c r="B66" s="2" t="n"/>
      <c r="C66" s="3" t="n"/>
      <c r="D66" s="2" t="n"/>
      <c r="E66" s="4">
        <f>IF(A66="","",5)</f>
        <v/>
      </c>
      <c r="F66" s="2" t="n"/>
      <c r="G66" s="4" t="n"/>
      <c r="H66" s="2" t="n"/>
      <c r="I66" s="2" t="n"/>
      <c r="J66" s="2">
        <f>IF(C66="","",IF(LEN(C66)&lt;&gt;13,"Nema 13 cifara (ima "&amp;LEN(C66)&amp;")",IF(L66="","JMBG sadrži nešto što nije cifra",IF(N66="","Nepostojeći datum rođenja",IF(VALUE(MID(C66,13,1))&lt;&gt;L66,"Pogrešna kontrolna cifra - treba "&amp;L66,"✓ ispravan")))))</f>
        <v/>
      </c>
      <c r="K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L66">
        <f>IF(K66="","",IF(11-MOD(K66,11)&gt;9,0,11-MOD(K66,11)))</f>
        <v/>
      </c>
      <c r="M66">
        <f>IFERROR(IF(LEN(C66)&lt;&gt;13,"",IF(VALUE(MID(C66,5,3))&gt;=800,1000,2000)+VALUE(MID(C66,5,3))),"")</f>
        <v/>
      </c>
      <c r="N66">
        <f>IFERROR(IF(M66="","",IF(AND(DAY(DATE(M66,VALUE(MID(C66,3,2)),VALUE(MID(C66,1,2))))=VALUE(MID(C66,1,2)),MONTH(DATE(M66,VALUE(MID(C66,3,2)),VALUE(MID(C66,1,2))))=VALUE(MID(C66,3,2))),DATE(M66,VALUE(MID(C66,3,2)),VALUE(MID(C66,1,2))),"")),"")</f>
        <v/>
      </c>
    </row>
    <row r="67">
      <c r="A67" s="2" t="n"/>
      <c r="B67" s="2" t="n"/>
      <c r="C67" s="3" t="n"/>
      <c r="D67" s="2" t="n"/>
      <c r="E67" s="4">
        <f>IF(A67="","",5)</f>
        <v/>
      </c>
      <c r="F67" s="2" t="n"/>
      <c r="G67" s="4" t="n"/>
      <c r="H67" s="2" t="n"/>
      <c r="I67" s="2" t="n"/>
      <c r="J67" s="2">
        <f>IF(C67="","",IF(LEN(C67)&lt;&gt;13,"Nema 13 cifara (ima "&amp;LEN(C67)&amp;")",IF(L67="","JMBG sadrži nešto što nije cifra",IF(N67="","Nepostojeći datum rođenja",IF(VALUE(MID(C67,13,1))&lt;&gt;L67,"Pogrešna kontrolna cifra - treba "&amp;L67,"✓ ispravan")))))</f>
        <v/>
      </c>
      <c r="K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L67">
        <f>IF(K67="","",IF(11-MOD(K67,11)&gt;9,0,11-MOD(K67,11)))</f>
        <v/>
      </c>
      <c r="M67">
        <f>IFERROR(IF(LEN(C67)&lt;&gt;13,"",IF(VALUE(MID(C67,5,3))&gt;=800,1000,2000)+VALUE(MID(C67,5,3))),"")</f>
        <v/>
      </c>
      <c r="N67">
        <f>IFERROR(IF(M67="","",IF(AND(DAY(DATE(M67,VALUE(MID(C67,3,2)),VALUE(MID(C67,1,2))))=VALUE(MID(C67,1,2)),MONTH(DATE(M67,VALUE(MID(C67,3,2)),VALUE(MID(C67,1,2))))=VALUE(MID(C67,3,2))),DATE(M67,VALUE(MID(C67,3,2)),VALUE(MID(C67,1,2))),"")),"")</f>
        <v/>
      </c>
    </row>
    <row r="68">
      <c r="A68" s="2" t="n"/>
      <c r="B68" s="2" t="n"/>
      <c r="C68" s="3" t="n"/>
      <c r="D68" s="2" t="n"/>
      <c r="E68" s="4">
        <f>IF(A68="","",5)</f>
        <v/>
      </c>
      <c r="F68" s="2" t="n"/>
      <c r="G68" s="4" t="n"/>
      <c r="H68" s="2" t="n"/>
      <c r="I68" s="2" t="n"/>
      <c r="J68" s="2">
        <f>IF(C68="","",IF(LEN(C68)&lt;&gt;13,"Nema 13 cifara (ima "&amp;LEN(C68)&amp;")",IF(L68="","JMBG sadrži nešto što nije cifra",IF(N68="","Nepostojeći datum rođenja",IF(VALUE(MID(C68,13,1))&lt;&gt;L68,"Pogrešna kontrolna cifra - treba "&amp;L68,"✓ ispravan")))))</f>
        <v/>
      </c>
      <c r="K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L68">
        <f>IF(K68="","",IF(11-MOD(K68,11)&gt;9,0,11-MOD(K68,11)))</f>
        <v/>
      </c>
      <c r="M68">
        <f>IFERROR(IF(LEN(C68)&lt;&gt;13,"",IF(VALUE(MID(C68,5,3))&gt;=800,1000,2000)+VALUE(MID(C68,5,3))),"")</f>
        <v/>
      </c>
      <c r="N68">
        <f>IFERROR(IF(M68="","",IF(AND(DAY(DATE(M68,VALUE(MID(C68,3,2)),VALUE(MID(C68,1,2))))=VALUE(MID(C68,1,2)),MONTH(DATE(M68,VALUE(MID(C68,3,2)),VALUE(MID(C68,1,2))))=VALUE(MID(C68,3,2))),DATE(M68,VALUE(MID(C68,3,2)),VALUE(MID(C68,1,2))),"")),"")</f>
        <v/>
      </c>
    </row>
    <row r="69">
      <c r="A69" s="2" t="n"/>
      <c r="B69" s="2" t="n"/>
      <c r="C69" s="3" t="n"/>
      <c r="D69" s="2" t="n"/>
      <c r="E69" s="4">
        <f>IF(A69="","",5)</f>
        <v/>
      </c>
      <c r="F69" s="2" t="n"/>
      <c r="G69" s="4" t="n"/>
      <c r="H69" s="2" t="n"/>
      <c r="I69" s="2" t="n"/>
      <c r="J69" s="2">
        <f>IF(C69="","",IF(LEN(C69)&lt;&gt;13,"Nema 13 cifara (ima "&amp;LEN(C69)&amp;")",IF(L69="","JMBG sadrži nešto što nije cifra",IF(N69="","Nepostojeći datum rođenja",IF(VALUE(MID(C69,13,1))&lt;&gt;L69,"Pogrešna kontrolna cifra - treba "&amp;L69,"✓ ispravan")))))</f>
        <v/>
      </c>
      <c r="K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L69">
        <f>IF(K69="","",IF(11-MOD(K69,11)&gt;9,0,11-MOD(K69,11)))</f>
        <v/>
      </c>
      <c r="M69">
        <f>IFERROR(IF(LEN(C69)&lt;&gt;13,"",IF(VALUE(MID(C69,5,3))&gt;=800,1000,2000)+VALUE(MID(C69,5,3))),"")</f>
        <v/>
      </c>
      <c r="N69">
        <f>IFERROR(IF(M69="","",IF(AND(DAY(DATE(M69,VALUE(MID(C69,3,2)),VALUE(MID(C69,1,2))))=VALUE(MID(C69,1,2)),MONTH(DATE(M69,VALUE(MID(C69,3,2)),VALUE(MID(C69,1,2))))=VALUE(MID(C69,3,2))),DATE(M69,VALUE(MID(C69,3,2)),VALUE(MID(C69,1,2))),"")),"")</f>
        <v/>
      </c>
    </row>
    <row r="70">
      <c r="A70" s="2" t="n"/>
      <c r="B70" s="2" t="n"/>
      <c r="C70" s="3" t="n"/>
      <c r="D70" s="2" t="n"/>
      <c r="E70" s="4">
        <f>IF(A70="","",5)</f>
        <v/>
      </c>
      <c r="F70" s="2" t="n"/>
      <c r="G70" s="4" t="n"/>
      <c r="H70" s="2" t="n"/>
      <c r="I70" s="2" t="n"/>
      <c r="J70" s="2">
        <f>IF(C70="","",IF(LEN(C70)&lt;&gt;13,"Nema 13 cifara (ima "&amp;LEN(C70)&amp;")",IF(L70="","JMBG sadrži nešto što nije cifra",IF(N70="","Nepostojeći datum rođenja",IF(VALUE(MID(C70,13,1))&lt;&gt;L70,"Pogrešna kontrolna cifra - treba "&amp;L70,"✓ ispravan")))))</f>
        <v/>
      </c>
      <c r="K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L70">
        <f>IF(K70="","",IF(11-MOD(K70,11)&gt;9,0,11-MOD(K70,11)))</f>
        <v/>
      </c>
      <c r="M70">
        <f>IFERROR(IF(LEN(C70)&lt;&gt;13,"",IF(VALUE(MID(C70,5,3))&gt;=800,1000,2000)+VALUE(MID(C70,5,3))),"")</f>
        <v/>
      </c>
      <c r="N70">
        <f>IFERROR(IF(M70="","",IF(AND(DAY(DATE(M70,VALUE(MID(C70,3,2)),VALUE(MID(C70,1,2))))=VALUE(MID(C70,1,2)),MONTH(DATE(M70,VALUE(MID(C70,3,2)),VALUE(MID(C70,1,2))))=VALUE(MID(C70,3,2))),DATE(M70,VALUE(MID(C70,3,2)),VALUE(MID(C70,1,2))),"")),"")</f>
        <v/>
      </c>
    </row>
    <row r="71">
      <c r="A71" s="2" t="n"/>
      <c r="B71" s="2" t="n"/>
      <c r="C71" s="3" t="n"/>
      <c r="D71" s="2" t="n"/>
      <c r="E71" s="4">
        <f>IF(A71="","",5)</f>
        <v/>
      </c>
      <c r="F71" s="2" t="n"/>
      <c r="G71" s="4" t="n"/>
      <c r="H71" s="2" t="n"/>
      <c r="I71" s="2" t="n"/>
      <c r="J71" s="2">
        <f>IF(C71="","",IF(LEN(C71)&lt;&gt;13,"Nema 13 cifara (ima "&amp;LEN(C71)&amp;")",IF(L71="","JMBG sadrži nešto što nije cifra",IF(N71="","Nepostojeći datum rođenja",IF(VALUE(MID(C71,13,1))&lt;&gt;L71,"Pogrešna kontrolna cifra - treba "&amp;L71,"✓ ispravan")))))</f>
        <v/>
      </c>
      <c r="K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L71">
        <f>IF(K71="","",IF(11-MOD(K71,11)&gt;9,0,11-MOD(K71,11)))</f>
        <v/>
      </c>
      <c r="M71">
        <f>IFERROR(IF(LEN(C71)&lt;&gt;13,"",IF(VALUE(MID(C71,5,3))&gt;=800,1000,2000)+VALUE(MID(C71,5,3))),"")</f>
        <v/>
      </c>
      <c r="N71">
        <f>IFERROR(IF(M71="","",IF(AND(DAY(DATE(M71,VALUE(MID(C71,3,2)),VALUE(MID(C71,1,2))))=VALUE(MID(C71,1,2)),MONTH(DATE(M71,VALUE(MID(C71,3,2)),VALUE(MID(C71,1,2))))=VALUE(MID(C71,3,2))),DATE(M71,VALUE(MID(C71,3,2)),VALUE(MID(C71,1,2))),"")),"")</f>
        <v/>
      </c>
    </row>
    <row r="72">
      <c r="A72" s="2" t="n"/>
      <c r="B72" s="2" t="n"/>
      <c r="C72" s="3" t="n"/>
      <c r="D72" s="2" t="n"/>
      <c r="E72" s="4">
        <f>IF(A72="","",5)</f>
        <v/>
      </c>
      <c r="F72" s="2" t="n"/>
      <c r="G72" s="4" t="n"/>
      <c r="H72" s="2" t="n"/>
      <c r="I72" s="2" t="n"/>
      <c r="J72" s="2">
        <f>IF(C72="","",IF(LEN(C72)&lt;&gt;13,"Nema 13 cifara (ima "&amp;LEN(C72)&amp;")",IF(L72="","JMBG sadrži nešto što nije cifra",IF(N72="","Nepostojeći datum rođenja",IF(VALUE(MID(C72,13,1))&lt;&gt;L72,"Pogrešna kontrolna cifra - treba "&amp;L72,"✓ ispravan")))))</f>
        <v/>
      </c>
      <c r="K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L72">
        <f>IF(K72="","",IF(11-MOD(K72,11)&gt;9,0,11-MOD(K72,11)))</f>
        <v/>
      </c>
      <c r="M72">
        <f>IFERROR(IF(LEN(C72)&lt;&gt;13,"",IF(VALUE(MID(C72,5,3))&gt;=800,1000,2000)+VALUE(MID(C72,5,3))),"")</f>
        <v/>
      </c>
      <c r="N72">
        <f>IFERROR(IF(M72="","",IF(AND(DAY(DATE(M72,VALUE(MID(C72,3,2)),VALUE(MID(C72,1,2))))=VALUE(MID(C72,1,2)),MONTH(DATE(M72,VALUE(MID(C72,3,2)),VALUE(MID(C72,1,2))))=VALUE(MID(C72,3,2))),DATE(M72,VALUE(MID(C72,3,2)),VALUE(MID(C72,1,2))),"")),"")</f>
        <v/>
      </c>
    </row>
    <row r="73">
      <c r="A73" s="2" t="n"/>
      <c r="B73" s="2" t="n"/>
      <c r="C73" s="3" t="n"/>
      <c r="D73" s="2" t="n"/>
      <c r="E73" s="4">
        <f>IF(A73="","",5)</f>
        <v/>
      </c>
      <c r="F73" s="2" t="n"/>
      <c r="G73" s="4" t="n"/>
      <c r="H73" s="2" t="n"/>
      <c r="I73" s="2" t="n"/>
      <c r="J73" s="2">
        <f>IF(C73="","",IF(LEN(C73)&lt;&gt;13,"Nema 13 cifara (ima "&amp;LEN(C73)&amp;")",IF(L73="","JMBG sadrži nešto što nije cifra",IF(N73="","Nepostojeći datum rođenja",IF(VALUE(MID(C73,13,1))&lt;&gt;L73,"Pogrešna kontrolna cifra - treba "&amp;L73,"✓ ispravan")))))</f>
        <v/>
      </c>
      <c r="K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L73">
        <f>IF(K73="","",IF(11-MOD(K73,11)&gt;9,0,11-MOD(K73,11)))</f>
        <v/>
      </c>
      <c r="M73">
        <f>IFERROR(IF(LEN(C73)&lt;&gt;13,"",IF(VALUE(MID(C73,5,3))&gt;=800,1000,2000)+VALUE(MID(C73,5,3))),"")</f>
        <v/>
      </c>
      <c r="N73">
        <f>IFERROR(IF(M73="","",IF(AND(DAY(DATE(M73,VALUE(MID(C73,3,2)),VALUE(MID(C73,1,2))))=VALUE(MID(C73,1,2)),MONTH(DATE(M73,VALUE(MID(C73,3,2)),VALUE(MID(C73,1,2))))=VALUE(MID(C73,3,2))),DATE(M73,VALUE(MID(C73,3,2)),VALUE(MID(C73,1,2))),"")),"")</f>
        <v/>
      </c>
    </row>
    <row r="74">
      <c r="A74" s="2" t="n"/>
      <c r="B74" s="2" t="n"/>
      <c r="C74" s="3" t="n"/>
      <c r="D74" s="2" t="n"/>
      <c r="E74" s="4">
        <f>IF(A74="","",5)</f>
        <v/>
      </c>
      <c r="F74" s="2" t="n"/>
      <c r="G74" s="4" t="n"/>
      <c r="H74" s="2" t="n"/>
      <c r="I74" s="2" t="n"/>
      <c r="J74" s="2">
        <f>IF(C74="","",IF(LEN(C74)&lt;&gt;13,"Nema 13 cifara (ima "&amp;LEN(C74)&amp;")",IF(L74="","JMBG sadrži nešto što nije cifra",IF(N74="","Nepostojeći datum rođenja",IF(VALUE(MID(C74,13,1))&lt;&gt;L74,"Pogrešna kontrolna cifra - treba "&amp;L74,"✓ ispravan")))))</f>
        <v/>
      </c>
      <c r="K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L74">
        <f>IF(K74="","",IF(11-MOD(K74,11)&gt;9,0,11-MOD(K74,11)))</f>
        <v/>
      </c>
      <c r="M74">
        <f>IFERROR(IF(LEN(C74)&lt;&gt;13,"",IF(VALUE(MID(C74,5,3))&gt;=800,1000,2000)+VALUE(MID(C74,5,3))),"")</f>
        <v/>
      </c>
      <c r="N74">
        <f>IFERROR(IF(M74="","",IF(AND(DAY(DATE(M74,VALUE(MID(C74,3,2)),VALUE(MID(C74,1,2))))=VALUE(MID(C74,1,2)),MONTH(DATE(M74,VALUE(MID(C74,3,2)),VALUE(MID(C74,1,2))))=VALUE(MID(C74,3,2))),DATE(M74,VALUE(MID(C74,3,2)),VALUE(MID(C74,1,2))),"")),"")</f>
        <v/>
      </c>
    </row>
    <row r="75">
      <c r="A75" s="2" t="n"/>
      <c r="B75" s="2" t="n"/>
      <c r="C75" s="3" t="n"/>
      <c r="D75" s="2" t="n"/>
      <c r="E75" s="4">
        <f>IF(A75="","",5)</f>
        <v/>
      </c>
      <c r="F75" s="2" t="n"/>
      <c r="G75" s="4" t="n"/>
      <c r="H75" s="2" t="n"/>
      <c r="I75" s="2" t="n"/>
      <c r="J75" s="2">
        <f>IF(C75="","",IF(LEN(C75)&lt;&gt;13,"Nema 13 cifara (ima "&amp;LEN(C75)&amp;")",IF(L75="","JMBG sadrži nešto što nije cifra",IF(N75="","Nepostojeći datum rođenja",IF(VALUE(MID(C75,13,1))&lt;&gt;L75,"Pogrešna kontrolna cifra - treba "&amp;L75,"✓ ispravan")))))</f>
        <v/>
      </c>
      <c r="K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L75">
        <f>IF(K75="","",IF(11-MOD(K75,11)&gt;9,0,11-MOD(K75,11)))</f>
        <v/>
      </c>
      <c r="M75">
        <f>IFERROR(IF(LEN(C75)&lt;&gt;13,"",IF(VALUE(MID(C75,5,3))&gt;=800,1000,2000)+VALUE(MID(C75,5,3))),"")</f>
        <v/>
      </c>
      <c r="N75">
        <f>IFERROR(IF(M75="","",IF(AND(DAY(DATE(M75,VALUE(MID(C75,3,2)),VALUE(MID(C75,1,2))))=VALUE(MID(C75,1,2)),MONTH(DATE(M75,VALUE(MID(C75,3,2)),VALUE(MID(C75,1,2))))=VALUE(MID(C75,3,2))),DATE(M75,VALUE(MID(C75,3,2)),VALUE(MID(C75,1,2))),"")),"")</f>
        <v/>
      </c>
    </row>
    <row r="76">
      <c r="A76" s="2" t="n"/>
      <c r="B76" s="2" t="n"/>
      <c r="C76" s="3" t="n"/>
      <c r="D76" s="2" t="n"/>
      <c r="E76" s="4">
        <f>IF(A76="","",5)</f>
        <v/>
      </c>
      <c r="F76" s="2" t="n"/>
      <c r="G76" s="4" t="n"/>
      <c r="H76" s="2" t="n"/>
      <c r="I76" s="2" t="n"/>
      <c r="J76" s="2">
        <f>IF(C76="","",IF(LEN(C76)&lt;&gt;13,"Nema 13 cifara (ima "&amp;LEN(C76)&amp;")",IF(L76="","JMBG sadrži nešto što nije cifra",IF(N76="","Nepostojeći datum rođenja",IF(VALUE(MID(C76,13,1))&lt;&gt;L76,"Pogrešna kontrolna cifra - treba "&amp;L76,"✓ ispravan")))))</f>
        <v/>
      </c>
      <c r="K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L76">
        <f>IF(K76="","",IF(11-MOD(K76,11)&gt;9,0,11-MOD(K76,11)))</f>
        <v/>
      </c>
      <c r="M76">
        <f>IFERROR(IF(LEN(C76)&lt;&gt;13,"",IF(VALUE(MID(C76,5,3))&gt;=800,1000,2000)+VALUE(MID(C76,5,3))),"")</f>
        <v/>
      </c>
      <c r="N76">
        <f>IFERROR(IF(M76="","",IF(AND(DAY(DATE(M76,VALUE(MID(C76,3,2)),VALUE(MID(C76,1,2))))=VALUE(MID(C76,1,2)),MONTH(DATE(M76,VALUE(MID(C76,3,2)),VALUE(MID(C76,1,2))))=VALUE(MID(C76,3,2))),DATE(M76,VALUE(MID(C76,3,2)),VALUE(MID(C76,1,2))),"")),"")</f>
        <v/>
      </c>
    </row>
    <row r="77">
      <c r="A77" s="2" t="n"/>
      <c r="B77" s="2" t="n"/>
      <c r="C77" s="3" t="n"/>
      <c r="D77" s="2" t="n"/>
      <c r="E77" s="4">
        <f>IF(A77="","",5)</f>
        <v/>
      </c>
      <c r="F77" s="2" t="n"/>
      <c r="G77" s="4" t="n"/>
      <c r="H77" s="2" t="n"/>
      <c r="I77" s="2" t="n"/>
      <c r="J77" s="2">
        <f>IF(C77="","",IF(LEN(C77)&lt;&gt;13,"Nema 13 cifara (ima "&amp;LEN(C77)&amp;")",IF(L77="","JMBG sadrži nešto što nije cifra",IF(N77="","Nepostojeći datum rođenja",IF(VALUE(MID(C77,13,1))&lt;&gt;L77,"Pogrešna kontrolna cifra - treba "&amp;L77,"✓ ispravan")))))</f>
        <v/>
      </c>
      <c r="K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L77">
        <f>IF(K77="","",IF(11-MOD(K77,11)&gt;9,0,11-MOD(K77,11)))</f>
        <v/>
      </c>
      <c r="M77">
        <f>IFERROR(IF(LEN(C77)&lt;&gt;13,"",IF(VALUE(MID(C77,5,3))&gt;=800,1000,2000)+VALUE(MID(C77,5,3))),"")</f>
        <v/>
      </c>
      <c r="N77">
        <f>IFERROR(IF(M77="","",IF(AND(DAY(DATE(M77,VALUE(MID(C77,3,2)),VALUE(MID(C77,1,2))))=VALUE(MID(C77,1,2)),MONTH(DATE(M77,VALUE(MID(C77,3,2)),VALUE(MID(C77,1,2))))=VALUE(MID(C77,3,2))),DATE(M77,VALUE(MID(C77,3,2)),VALUE(MID(C77,1,2))),"")),"")</f>
        <v/>
      </c>
    </row>
    <row r="78">
      <c r="A78" s="2" t="n"/>
      <c r="B78" s="2" t="n"/>
      <c r="C78" s="3" t="n"/>
      <c r="D78" s="2" t="n"/>
      <c r="E78" s="4">
        <f>IF(A78="","",5)</f>
        <v/>
      </c>
      <c r="F78" s="2" t="n"/>
      <c r="G78" s="4" t="n"/>
      <c r="H78" s="2" t="n"/>
      <c r="I78" s="2" t="n"/>
      <c r="J78" s="2">
        <f>IF(C78="","",IF(LEN(C78)&lt;&gt;13,"Nema 13 cifara (ima "&amp;LEN(C78)&amp;")",IF(L78="","JMBG sadrži nešto što nije cifra",IF(N78="","Nepostojeći datum rođenja",IF(VALUE(MID(C78,13,1))&lt;&gt;L78,"Pogrešna kontrolna cifra - treba "&amp;L78,"✓ ispravan")))))</f>
        <v/>
      </c>
      <c r="K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L78">
        <f>IF(K78="","",IF(11-MOD(K78,11)&gt;9,0,11-MOD(K78,11)))</f>
        <v/>
      </c>
      <c r="M78">
        <f>IFERROR(IF(LEN(C78)&lt;&gt;13,"",IF(VALUE(MID(C78,5,3))&gt;=800,1000,2000)+VALUE(MID(C78,5,3))),"")</f>
        <v/>
      </c>
      <c r="N78">
        <f>IFERROR(IF(M78="","",IF(AND(DAY(DATE(M78,VALUE(MID(C78,3,2)),VALUE(MID(C78,1,2))))=VALUE(MID(C78,1,2)),MONTH(DATE(M78,VALUE(MID(C78,3,2)),VALUE(MID(C78,1,2))))=VALUE(MID(C78,3,2))),DATE(M78,VALUE(MID(C78,3,2)),VALUE(MID(C78,1,2))),"")),"")</f>
        <v/>
      </c>
    </row>
    <row r="79">
      <c r="A79" s="2" t="n"/>
      <c r="B79" s="2" t="n"/>
      <c r="C79" s="3" t="n"/>
      <c r="D79" s="2" t="n"/>
      <c r="E79" s="4">
        <f>IF(A79="","",5)</f>
        <v/>
      </c>
      <c r="F79" s="2" t="n"/>
      <c r="G79" s="4" t="n"/>
      <c r="H79" s="2" t="n"/>
      <c r="I79" s="2" t="n"/>
      <c r="J79" s="2">
        <f>IF(C79="","",IF(LEN(C79)&lt;&gt;13,"Nema 13 cifara (ima "&amp;LEN(C79)&amp;")",IF(L79="","JMBG sadrži nešto što nije cifra",IF(N79="","Nepostojeći datum rođenja",IF(VALUE(MID(C79,13,1))&lt;&gt;L79,"Pogrešna kontrolna cifra - treba "&amp;L79,"✓ ispravan")))))</f>
        <v/>
      </c>
      <c r="K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L79">
        <f>IF(K79="","",IF(11-MOD(K79,11)&gt;9,0,11-MOD(K79,11)))</f>
        <v/>
      </c>
      <c r="M79">
        <f>IFERROR(IF(LEN(C79)&lt;&gt;13,"",IF(VALUE(MID(C79,5,3))&gt;=800,1000,2000)+VALUE(MID(C79,5,3))),"")</f>
        <v/>
      </c>
      <c r="N79">
        <f>IFERROR(IF(M79="","",IF(AND(DAY(DATE(M79,VALUE(MID(C79,3,2)),VALUE(MID(C79,1,2))))=VALUE(MID(C79,1,2)),MONTH(DATE(M79,VALUE(MID(C79,3,2)),VALUE(MID(C79,1,2))))=VALUE(MID(C79,3,2))),DATE(M79,VALUE(MID(C79,3,2)),VALUE(MID(C79,1,2))),"")),"")</f>
        <v/>
      </c>
    </row>
    <row r="80">
      <c r="A80" s="2" t="n"/>
      <c r="B80" s="2" t="n"/>
      <c r="C80" s="3" t="n"/>
      <c r="D80" s="2" t="n"/>
      <c r="E80" s="4">
        <f>IF(A80="","",5)</f>
        <v/>
      </c>
      <c r="F80" s="2" t="n"/>
      <c r="G80" s="4" t="n"/>
      <c r="H80" s="2" t="n"/>
      <c r="I80" s="2" t="n"/>
      <c r="J80" s="2">
        <f>IF(C80="","",IF(LEN(C80)&lt;&gt;13,"Nema 13 cifara (ima "&amp;LEN(C80)&amp;")",IF(L80="","JMBG sadrži nešto što nije cifra",IF(N80="","Nepostojeći datum rođenja",IF(VALUE(MID(C80,13,1))&lt;&gt;L80,"Pogrešna kontrolna cifra - treba "&amp;L80,"✓ ispravan")))))</f>
        <v/>
      </c>
      <c r="K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L80">
        <f>IF(K80="","",IF(11-MOD(K80,11)&gt;9,0,11-MOD(K80,11)))</f>
        <v/>
      </c>
      <c r="M80">
        <f>IFERROR(IF(LEN(C80)&lt;&gt;13,"",IF(VALUE(MID(C80,5,3))&gt;=800,1000,2000)+VALUE(MID(C80,5,3))),"")</f>
        <v/>
      </c>
      <c r="N80">
        <f>IFERROR(IF(M80="","",IF(AND(DAY(DATE(M80,VALUE(MID(C80,3,2)),VALUE(MID(C80,1,2))))=VALUE(MID(C80,1,2)),MONTH(DATE(M80,VALUE(MID(C80,3,2)),VALUE(MID(C80,1,2))))=VALUE(MID(C80,3,2))),DATE(M80,VALUE(MID(C80,3,2)),VALUE(MID(C80,1,2))),"")),"")</f>
        <v/>
      </c>
    </row>
    <row r="81">
      <c r="A81" s="2" t="n"/>
      <c r="B81" s="2" t="n"/>
      <c r="C81" s="3" t="n"/>
      <c r="D81" s="2" t="n"/>
      <c r="E81" s="4">
        <f>IF(A81="","",5)</f>
        <v/>
      </c>
      <c r="F81" s="2" t="n"/>
      <c r="G81" s="4" t="n"/>
      <c r="H81" s="2" t="n"/>
      <c r="I81" s="2" t="n"/>
      <c r="J81" s="2">
        <f>IF(C81="","",IF(LEN(C81)&lt;&gt;13,"Nema 13 cifara (ima "&amp;LEN(C81)&amp;")",IF(L81="","JMBG sadrži nešto što nije cifra",IF(N81="","Nepostojeći datum rođenja",IF(VALUE(MID(C81,13,1))&lt;&gt;L81,"Pogrešna kontrolna cifra - treba "&amp;L81,"✓ ispravan")))))</f>
        <v/>
      </c>
      <c r="K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L81">
        <f>IF(K81="","",IF(11-MOD(K81,11)&gt;9,0,11-MOD(K81,11)))</f>
        <v/>
      </c>
      <c r="M81">
        <f>IFERROR(IF(LEN(C81)&lt;&gt;13,"",IF(VALUE(MID(C81,5,3))&gt;=800,1000,2000)+VALUE(MID(C81,5,3))),"")</f>
        <v/>
      </c>
      <c r="N81">
        <f>IFERROR(IF(M81="","",IF(AND(DAY(DATE(M81,VALUE(MID(C81,3,2)),VALUE(MID(C81,1,2))))=VALUE(MID(C81,1,2)),MONTH(DATE(M81,VALUE(MID(C81,3,2)),VALUE(MID(C81,1,2))))=VALUE(MID(C81,3,2))),DATE(M81,VALUE(MID(C81,3,2)),VALUE(MID(C81,1,2))),"")),"")</f>
        <v/>
      </c>
    </row>
    <row r="82">
      <c r="A82" s="2" t="n"/>
      <c r="B82" s="2" t="n"/>
      <c r="C82" s="3" t="n"/>
      <c r="D82" s="2" t="n"/>
      <c r="E82" s="4">
        <f>IF(A82="","",5)</f>
        <v/>
      </c>
      <c r="F82" s="2" t="n"/>
      <c r="G82" s="4" t="n"/>
      <c r="H82" s="2" t="n"/>
      <c r="I82" s="2" t="n"/>
      <c r="J82" s="2">
        <f>IF(C82="","",IF(LEN(C82)&lt;&gt;13,"Nema 13 cifara (ima "&amp;LEN(C82)&amp;")",IF(L82="","JMBG sadrži nešto što nije cifra",IF(N82="","Nepostojeći datum rođenja",IF(VALUE(MID(C82,13,1))&lt;&gt;L82,"Pogrešna kontrolna cifra - treba "&amp;L82,"✓ ispravan")))))</f>
        <v/>
      </c>
      <c r="K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L82">
        <f>IF(K82="","",IF(11-MOD(K82,11)&gt;9,0,11-MOD(K82,11)))</f>
        <v/>
      </c>
      <c r="M82">
        <f>IFERROR(IF(LEN(C82)&lt;&gt;13,"",IF(VALUE(MID(C82,5,3))&gt;=800,1000,2000)+VALUE(MID(C82,5,3))),"")</f>
        <v/>
      </c>
      <c r="N82">
        <f>IFERROR(IF(M82="","",IF(AND(DAY(DATE(M82,VALUE(MID(C82,3,2)),VALUE(MID(C82,1,2))))=VALUE(MID(C82,1,2)),MONTH(DATE(M82,VALUE(MID(C82,3,2)),VALUE(MID(C82,1,2))))=VALUE(MID(C82,3,2))),DATE(M82,VALUE(MID(C82,3,2)),VALUE(MID(C82,1,2))),"")),"")</f>
        <v/>
      </c>
    </row>
    <row r="83">
      <c r="A83" s="2" t="n"/>
      <c r="B83" s="2" t="n"/>
      <c r="C83" s="3" t="n"/>
      <c r="D83" s="2" t="n"/>
      <c r="E83" s="4">
        <f>IF(A83="","",5)</f>
        <v/>
      </c>
      <c r="F83" s="2" t="n"/>
      <c r="G83" s="4" t="n"/>
      <c r="H83" s="2" t="n"/>
      <c r="I83" s="2" t="n"/>
      <c r="J83" s="2">
        <f>IF(C83="","",IF(LEN(C83)&lt;&gt;13,"Nema 13 cifara (ima "&amp;LEN(C83)&amp;")",IF(L83="","JMBG sadrži nešto što nije cifra",IF(N83="","Nepostojeći datum rođenja",IF(VALUE(MID(C83,13,1))&lt;&gt;L83,"Pogrešna kontrolna cifra - treba "&amp;L83,"✓ ispravan")))))</f>
        <v/>
      </c>
      <c r="K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L83">
        <f>IF(K83="","",IF(11-MOD(K83,11)&gt;9,0,11-MOD(K83,11)))</f>
        <v/>
      </c>
      <c r="M83">
        <f>IFERROR(IF(LEN(C83)&lt;&gt;13,"",IF(VALUE(MID(C83,5,3))&gt;=800,1000,2000)+VALUE(MID(C83,5,3))),"")</f>
        <v/>
      </c>
      <c r="N83">
        <f>IFERROR(IF(M83="","",IF(AND(DAY(DATE(M83,VALUE(MID(C83,3,2)),VALUE(MID(C83,1,2))))=VALUE(MID(C83,1,2)),MONTH(DATE(M83,VALUE(MID(C83,3,2)),VALUE(MID(C83,1,2))))=VALUE(MID(C83,3,2))),DATE(M83,VALUE(MID(C83,3,2)),VALUE(MID(C83,1,2))),"")),"")</f>
        <v/>
      </c>
    </row>
    <row r="84">
      <c r="A84" s="2" t="n"/>
      <c r="B84" s="2" t="n"/>
      <c r="C84" s="3" t="n"/>
      <c r="D84" s="2" t="n"/>
      <c r="E84" s="4">
        <f>IF(A84="","",5)</f>
        <v/>
      </c>
      <c r="F84" s="2" t="n"/>
      <c r="G84" s="4" t="n"/>
      <c r="H84" s="2" t="n"/>
      <c r="I84" s="2" t="n"/>
      <c r="J84" s="2">
        <f>IF(C84="","",IF(LEN(C84)&lt;&gt;13,"Nema 13 cifara (ima "&amp;LEN(C84)&amp;")",IF(L84="","JMBG sadrži nešto što nije cifra",IF(N84="","Nepostojeći datum rođenja",IF(VALUE(MID(C84,13,1))&lt;&gt;L84,"Pogrešna kontrolna cifra - treba "&amp;L84,"✓ ispravan")))))</f>
        <v/>
      </c>
      <c r="K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L84">
        <f>IF(K84="","",IF(11-MOD(K84,11)&gt;9,0,11-MOD(K84,11)))</f>
        <v/>
      </c>
      <c r="M84">
        <f>IFERROR(IF(LEN(C84)&lt;&gt;13,"",IF(VALUE(MID(C84,5,3))&gt;=800,1000,2000)+VALUE(MID(C84,5,3))),"")</f>
        <v/>
      </c>
      <c r="N84">
        <f>IFERROR(IF(M84="","",IF(AND(DAY(DATE(M84,VALUE(MID(C84,3,2)),VALUE(MID(C84,1,2))))=VALUE(MID(C84,1,2)),MONTH(DATE(M84,VALUE(MID(C84,3,2)),VALUE(MID(C84,1,2))))=VALUE(MID(C84,3,2))),DATE(M84,VALUE(MID(C84,3,2)),VALUE(MID(C84,1,2))),"")),"")</f>
        <v/>
      </c>
    </row>
    <row r="85">
      <c r="A85" s="2" t="n"/>
      <c r="B85" s="2" t="n"/>
      <c r="C85" s="3" t="n"/>
      <c r="D85" s="2" t="n"/>
      <c r="E85" s="4">
        <f>IF(A85="","",5)</f>
        <v/>
      </c>
      <c r="F85" s="2" t="n"/>
      <c r="G85" s="4" t="n"/>
      <c r="H85" s="2" t="n"/>
      <c r="I85" s="2" t="n"/>
      <c r="J85" s="2">
        <f>IF(C85="","",IF(LEN(C85)&lt;&gt;13,"Nema 13 cifara (ima "&amp;LEN(C85)&amp;")",IF(L85="","JMBG sadrži nešto što nije cifra",IF(N85="","Nepostojeći datum rođenja",IF(VALUE(MID(C85,13,1))&lt;&gt;L85,"Pogrešna kontrolna cifra - treba "&amp;L85,"✓ ispravan")))))</f>
        <v/>
      </c>
      <c r="K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L85">
        <f>IF(K85="","",IF(11-MOD(K85,11)&gt;9,0,11-MOD(K85,11)))</f>
        <v/>
      </c>
      <c r="M85">
        <f>IFERROR(IF(LEN(C85)&lt;&gt;13,"",IF(VALUE(MID(C85,5,3))&gt;=800,1000,2000)+VALUE(MID(C85,5,3))),"")</f>
        <v/>
      </c>
      <c r="N85">
        <f>IFERROR(IF(M85="","",IF(AND(DAY(DATE(M85,VALUE(MID(C85,3,2)),VALUE(MID(C85,1,2))))=VALUE(MID(C85,1,2)),MONTH(DATE(M85,VALUE(MID(C85,3,2)),VALUE(MID(C85,1,2))))=VALUE(MID(C85,3,2))),DATE(M85,VALUE(MID(C85,3,2)),VALUE(MID(C85,1,2))),"")),"")</f>
        <v/>
      </c>
    </row>
    <row r="86">
      <c r="A86" s="2" t="n"/>
      <c r="B86" s="2" t="n"/>
      <c r="C86" s="3" t="n"/>
      <c r="D86" s="2" t="n"/>
      <c r="E86" s="4">
        <f>IF(A86="","",5)</f>
        <v/>
      </c>
      <c r="F86" s="2" t="n"/>
      <c r="G86" s="4" t="n"/>
      <c r="H86" s="2" t="n"/>
      <c r="I86" s="2" t="n"/>
      <c r="J86" s="2">
        <f>IF(C86="","",IF(LEN(C86)&lt;&gt;13,"Nema 13 cifara (ima "&amp;LEN(C86)&amp;")",IF(L86="","JMBG sadrži nešto što nije cifra",IF(N86="","Nepostojeći datum rođenja",IF(VALUE(MID(C86,13,1))&lt;&gt;L86,"Pogrešna kontrolna cifra - treba "&amp;L86,"✓ ispravan")))))</f>
        <v/>
      </c>
      <c r="K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L86">
        <f>IF(K86="","",IF(11-MOD(K86,11)&gt;9,0,11-MOD(K86,11)))</f>
        <v/>
      </c>
      <c r="M86">
        <f>IFERROR(IF(LEN(C86)&lt;&gt;13,"",IF(VALUE(MID(C86,5,3))&gt;=800,1000,2000)+VALUE(MID(C86,5,3))),"")</f>
        <v/>
      </c>
      <c r="N86">
        <f>IFERROR(IF(M86="","",IF(AND(DAY(DATE(M86,VALUE(MID(C86,3,2)),VALUE(MID(C86,1,2))))=VALUE(MID(C86,1,2)),MONTH(DATE(M86,VALUE(MID(C86,3,2)),VALUE(MID(C86,1,2))))=VALUE(MID(C86,3,2))),DATE(M86,VALUE(MID(C86,3,2)),VALUE(MID(C86,1,2))),"")),"")</f>
        <v/>
      </c>
    </row>
    <row r="87">
      <c r="A87" s="2" t="n"/>
      <c r="B87" s="2" t="n"/>
      <c r="C87" s="3" t="n"/>
      <c r="D87" s="2" t="n"/>
      <c r="E87" s="4">
        <f>IF(A87="","",5)</f>
        <v/>
      </c>
      <c r="F87" s="2" t="n"/>
      <c r="G87" s="4" t="n"/>
      <c r="H87" s="2" t="n"/>
      <c r="I87" s="2" t="n"/>
      <c r="J87" s="2">
        <f>IF(C87="","",IF(LEN(C87)&lt;&gt;13,"Nema 13 cifara (ima "&amp;LEN(C87)&amp;")",IF(L87="","JMBG sadrži nešto što nije cifra",IF(N87="","Nepostojeći datum rođenja",IF(VALUE(MID(C87,13,1))&lt;&gt;L87,"Pogrešna kontrolna cifra - treba "&amp;L87,"✓ ispravan")))))</f>
        <v/>
      </c>
      <c r="K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L87">
        <f>IF(K87="","",IF(11-MOD(K87,11)&gt;9,0,11-MOD(K87,11)))</f>
        <v/>
      </c>
      <c r="M87">
        <f>IFERROR(IF(LEN(C87)&lt;&gt;13,"",IF(VALUE(MID(C87,5,3))&gt;=800,1000,2000)+VALUE(MID(C87,5,3))),"")</f>
        <v/>
      </c>
      <c r="N87">
        <f>IFERROR(IF(M87="","",IF(AND(DAY(DATE(M87,VALUE(MID(C87,3,2)),VALUE(MID(C87,1,2))))=VALUE(MID(C87,1,2)),MONTH(DATE(M87,VALUE(MID(C87,3,2)),VALUE(MID(C87,1,2))))=VALUE(MID(C87,3,2))),DATE(M87,VALUE(MID(C87,3,2)),VALUE(MID(C87,1,2))),"")),"")</f>
        <v/>
      </c>
    </row>
    <row r="88">
      <c r="A88" s="2" t="n"/>
      <c r="B88" s="2" t="n"/>
      <c r="C88" s="3" t="n"/>
      <c r="D88" s="2" t="n"/>
      <c r="E88" s="4">
        <f>IF(A88="","",5)</f>
        <v/>
      </c>
      <c r="F88" s="2" t="n"/>
      <c r="G88" s="4" t="n"/>
      <c r="H88" s="2" t="n"/>
      <c r="I88" s="2" t="n"/>
      <c r="J88" s="2">
        <f>IF(C88="","",IF(LEN(C88)&lt;&gt;13,"Nema 13 cifara (ima "&amp;LEN(C88)&amp;")",IF(L88="","JMBG sadrži nešto što nije cifra",IF(N88="","Nepostojeći datum rođenja",IF(VALUE(MID(C88,13,1))&lt;&gt;L88,"Pogrešna kontrolna cifra - treba "&amp;L88,"✓ ispravan")))))</f>
        <v/>
      </c>
      <c r="K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L88">
        <f>IF(K88="","",IF(11-MOD(K88,11)&gt;9,0,11-MOD(K88,11)))</f>
        <v/>
      </c>
      <c r="M88">
        <f>IFERROR(IF(LEN(C88)&lt;&gt;13,"",IF(VALUE(MID(C88,5,3))&gt;=800,1000,2000)+VALUE(MID(C88,5,3))),"")</f>
        <v/>
      </c>
      <c r="N88">
        <f>IFERROR(IF(M88="","",IF(AND(DAY(DATE(M88,VALUE(MID(C88,3,2)),VALUE(MID(C88,1,2))))=VALUE(MID(C88,1,2)),MONTH(DATE(M88,VALUE(MID(C88,3,2)),VALUE(MID(C88,1,2))))=VALUE(MID(C88,3,2))),DATE(M88,VALUE(MID(C88,3,2)),VALUE(MID(C88,1,2))),"")),"")</f>
        <v/>
      </c>
    </row>
    <row r="89">
      <c r="A89" s="2" t="n"/>
      <c r="B89" s="2" t="n"/>
      <c r="C89" s="3" t="n"/>
      <c r="D89" s="2" t="n"/>
      <c r="E89" s="4">
        <f>IF(A89="","",5)</f>
        <v/>
      </c>
      <c r="F89" s="2" t="n"/>
      <c r="G89" s="4" t="n"/>
      <c r="H89" s="2" t="n"/>
      <c r="I89" s="2" t="n"/>
      <c r="J89" s="2">
        <f>IF(C89="","",IF(LEN(C89)&lt;&gt;13,"Nema 13 cifara (ima "&amp;LEN(C89)&amp;")",IF(L89="","JMBG sadrži nešto što nije cifra",IF(N89="","Nepostojeći datum rođenja",IF(VALUE(MID(C89,13,1))&lt;&gt;L89,"Pogrešna kontrolna cifra - treba "&amp;L89,"✓ ispravan")))))</f>
        <v/>
      </c>
      <c r="K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L89">
        <f>IF(K89="","",IF(11-MOD(K89,11)&gt;9,0,11-MOD(K89,11)))</f>
        <v/>
      </c>
      <c r="M89">
        <f>IFERROR(IF(LEN(C89)&lt;&gt;13,"",IF(VALUE(MID(C89,5,3))&gt;=800,1000,2000)+VALUE(MID(C89,5,3))),"")</f>
        <v/>
      </c>
      <c r="N89">
        <f>IFERROR(IF(M89="","",IF(AND(DAY(DATE(M89,VALUE(MID(C89,3,2)),VALUE(MID(C89,1,2))))=VALUE(MID(C89,1,2)),MONTH(DATE(M89,VALUE(MID(C89,3,2)),VALUE(MID(C89,1,2))))=VALUE(MID(C89,3,2))),DATE(M89,VALUE(MID(C89,3,2)),VALUE(MID(C89,1,2))),"")),"")</f>
        <v/>
      </c>
    </row>
    <row r="90">
      <c r="A90" s="2" t="n"/>
      <c r="B90" s="2" t="n"/>
      <c r="C90" s="3" t="n"/>
      <c r="D90" s="2" t="n"/>
      <c r="E90" s="4">
        <f>IF(A90="","",5)</f>
        <v/>
      </c>
      <c r="F90" s="2" t="n"/>
      <c r="G90" s="4" t="n"/>
      <c r="H90" s="2" t="n"/>
      <c r="I90" s="2" t="n"/>
      <c r="J90" s="2">
        <f>IF(C90="","",IF(LEN(C90)&lt;&gt;13,"Nema 13 cifara (ima "&amp;LEN(C90)&amp;")",IF(L90="","JMBG sadrži nešto što nije cifra",IF(N90="","Nepostojeći datum rođenja",IF(VALUE(MID(C90,13,1))&lt;&gt;L90,"Pogrešna kontrolna cifra - treba "&amp;L90,"✓ ispravan")))))</f>
        <v/>
      </c>
      <c r="K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L90">
        <f>IF(K90="","",IF(11-MOD(K90,11)&gt;9,0,11-MOD(K90,11)))</f>
        <v/>
      </c>
      <c r="M90">
        <f>IFERROR(IF(LEN(C90)&lt;&gt;13,"",IF(VALUE(MID(C90,5,3))&gt;=800,1000,2000)+VALUE(MID(C90,5,3))),"")</f>
        <v/>
      </c>
      <c r="N90">
        <f>IFERROR(IF(M90="","",IF(AND(DAY(DATE(M90,VALUE(MID(C90,3,2)),VALUE(MID(C90,1,2))))=VALUE(MID(C90,1,2)),MONTH(DATE(M90,VALUE(MID(C90,3,2)),VALUE(MID(C90,1,2))))=VALUE(MID(C90,3,2))),DATE(M90,VALUE(MID(C90,3,2)),VALUE(MID(C90,1,2))),"")),"")</f>
        <v/>
      </c>
    </row>
    <row r="91">
      <c r="A91" s="2" t="n"/>
      <c r="B91" s="2" t="n"/>
      <c r="C91" s="3" t="n"/>
      <c r="D91" s="2" t="n"/>
      <c r="E91" s="4">
        <f>IF(A91="","",5)</f>
        <v/>
      </c>
      <c r="F91" s="2" t="n"/>
      <c r="G91" s="4" t="n"/>
      <c r="H91" s="2" t="n"/>
      <c r="I91" s="2" t="n"/>
      <c r="J91" s="2">
        <f>IF(C91="","",IF(LEN(C91)&lt;&gt;13,"Nema 13 cifara (ima "&amp;LEN(C91)&amp;")",IF(L91="","JMBG sadrži nešto što nije cifra",IF(N91="","Nepostojeći datum rođenja",IF(VALUE(MID(C91,13,1))&lt;&gt;L91,"Pogrešna kontrolna cifra - treba "&amp;L91,"✓ ispravan")))))</f>
        <v/>
      </c>
      <c r="K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L91">
        <f>IF(K91="","",IF(11-MOD(K91,11)&gt;9,0,11-MOD(K91,11)))</f>
        <v/>
      </c>
      <c r="M91">
        <f>IFERROR(IF(LEN(C91)&lt;&gt;13,"",IF(VALUE(MID(C91,5,3))&gt;=800,1000,2000)+VALUE(MID(C91,5,3))),"")</f>
        <v/>
      </c>
      <c r="N91">
        <f>IFERROR(IF(M91="","",IF(AND(DAY(DATE(M91,VALUE(MID(C91,3,2)),VALUE(MID(C91,1,2))))=VALUE(MID(C91,1,2)),MONTH(DATE(M91,VALUE(MID(C91,3,2)),VALUE(MID(C91,1,2))))=VALUE(MID(C91,3,2))),DATE(M91,VALUE(MID(C91,3,2)),VALUE(MID(C91,1,2))),"")),"")</f>
        <v/>
      </c>
    </row>
    <row r="92">
      <c r="A92" s="2" t="n"/>
      <c r="B92" s="2" t="n"/>
      <c r="C92" s="3" t="n"/>
      <c r="D92" s="2" t="n"/>
      <c r="E92" s="4">
        <f>IF(A92="","",5)</f>
        <v/>
      </c>
      <c r="F92" s="2" t="n"/>
      <c r="G92" s="4" t="n"/>
      <c r="H92" s="2" t="n"/>
      <c r="I92" s="2" t="n"/>
      <c r="J92" s="2">
        <f>IF(C92="","",IF(LEN(C92)&lt;&gt;13,"Nema 13 cifara (ima "&amp;LEN(C92)&amp;")",IF(L92="","JMBG sadrži nešto što nije cifra",IF(N92="","Nepostojeći datum rođenja",IF(VALUE(MID(C92,13,1))&lt;&gt;L92,"Pogrešna kontrolna cifra - treba "&amp;L92,"✓ ispravan")))))</f>
        <v/>
      </c>
      <c r="K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L92">
        <f>IF(K92="","",IF(11-MOD(K92,11)&gt;9,0,11-MOD(K92,11)))</f>
        <v/>
      </c>
      <c r="M92">
        <f>IFERROR(IF(LEN(C92)&lt;&gt;13,"",IF(VALUE(MID(C92,5,3))&gt;=800,1000,2000)+VALUE(MID(C92,5,3))),"")</f>
        <v/>
      </c>
      <c r="N92">
        <f>IFERROR(IF(M92="","",IF(AND(DAY(DATE(M92,VALUE(MID(C92,3,2)),VALUE(MID(C92,1,2))))=VALUE(MID(C92,1,2)),MONTH(DATE(M92,VALUE(MID(C92,3,2)),VALUE(MID(C92,1,2))))=VALUE(MID(C92,3,2))),DATE(M92,VALUE(MID(C92,3,2)),VALUE(MID(C92,1,2))),"")),"")</f>
        <v/>
      </c>
    </row>
    <row r="93">
      <c r="A93" s="2" t="n"/>
      <c r="B93" s="2" t="n"/>
      <c r="C93" s="3" t="n"/>
      <c r="D93" s="2" t="n"/>
      <c r="E93" s="4">
        <f>IF(A93="","",5)</f>
        <v/>
      </c>
      <c r="F93" s="2" t="n"/>
      <c r="G93" s="4" t="n"/>
      <c r="H93" s="2" t="n"/>
      <c r="I93" s="2" t="n"/>
      <c r="J93" s="2">
        <f>IF(C93="","",IF(LEN(C93)&lt;&gt;13,"Nema 13 cifara (ima "&amp;LEN(C93)&amp;")",IF(L93="","JMBG sadrži nešto što nije cifra",IF(N93="","Nepostojeći datum rođenja",IF(VALUE(MID(C93,13,1))&lt;&gt;L93,"Pogrešna kontrolna cifra - treba "&amp;L93,"✓ ispravan")))))</f>
        <v/>
      </c>
      <c r="K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L93">
        <f>IF(K93="","",IF(11-MOD(K93,11)&gt;9,0,11-MOD(K93,11)))</f>
        <v/>
      </c>
      <c r="M93">
        <f>IFERROR(IF(LEN(C93)&lt;&gt;13,"",IF(VALUE(MID(C93,5,3))&gt;=800,1000,2000)+VALUE(MID(C93,5,3))),"")</f>
        <v/>
      </c>
      <c r="N93">
        <f>IFERROR(IF(M93="","",IF(AND(DAY(DATE(M93,VALUE(MID(C93,3,2)),VALUE(MID(C93,1,2))))=VALUE(MID(C93,1,2)),MONTH(DATE(M93,VALUE(MID(C93,3,2)),VALUE(MID(C93,1,2))))=VALUE(MID(C93,3,2))),DATE(M93,VALUE(MID(C93,3,2)),VALUE(MID(C93,1,2))),"")),"")</f>
        <v/>
      </c>
    </row>
    <row r="94">
      <c r="A94" s="2" t="n"/>
      <c r="B94" s="2" t="n"/>
      <c r="C94" s="3" t="n"/>
      <c r="D94" s="2" t="n"/>
      <c r="E94" s="4">
        <f>IF(A94="","",5)</f>
        <v/>
      </c>
      <c r="F94" s="2" t="n"/>
      <c r="G94" s="4" t="n"/>
      <c r="H94" s="2" t="n"/>
      <c r="I94" s="2" t="n"/>
      <c r="J94" s="2">
        <f>IF(C94="","",IF(LEN(C94)&lt;&gt;13,"Nema 13 cifara (ima "&amp;LEN(C94)&amp;")",IF(L94="","JMBG sadrži nešto što nije cifra",IF(N94="","Nepostojeći datum rođenja",IF(VALUE(MID(C94,13,1))&lt;&gt;L94,"Pogrešna kontrolna cifra - treba "&amp;L94,"✓ ispravan")))))</f>
        <v/>
      </c>
      <c r="K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L94">
        <f>IF(K94="","",IF(11-MOD(K94,11)&gt;9,0,11-MOD(K94,11)))</f>
        <v/>
      </c>
      <c r="M94">
        <f>IFERROR(IF(LEN(C94)&lt;&gt;13,"",IF(VALUE(MID(C94,5,3))&gt;=800,1000,2000)+VALUE(MID(C94,5,3))),"")</f>
        <v/>
      </c>
      <c r="N94">
        <f>IFERROR(IF(M94="","",IF(AND(DAY(DATE(M94,VALUE(MID(C94,3,2)),VALUE(MID(C94,1,2))))=VALUE(MID(C94,1,2)),MONTH(DATE(M94,VALUE(MID(C94,3,2)),VALUE(MID(C94,1,2))))=VALUE(MID(C94,3,2))),DATE(M94,VALUE(MID(C94,3,2)),VALUE(MID(C94,1,2))),"")),"")</f>
        <v/>
      </c>
    </row>
    <row r="95">
      <c r="A95" s="2" t="n"/>
      <c r="B95" s="2" t="n"/>
      <c r="C95" s="3" t="n"/>
      <c r="D95" s="2" t="n"/>
      <c r="E95" s="4">
        <f>IF(A95="","",5)</f>
        <v/>
      </c>
      <c r="F95" s="2" t="n"/>
      <c r="G95" s="4" t="n"/>
      <c r="H95" s="2" t="n"/>
      <c r="I95" s="2" t="n"/>
      <c r="J95" s="2">
        <f>IF(C95="","",IF(LEN(C95)&lt;&gt;13,"Nema 13 cifara (ima "&amp;LEN(C95)&amp;")",IF(L95="","JMBG sadrži nešto što nije cifra",IF(N95="","Nepostojeći datum rođenja",IF(VALUE(MID(C95,13,1))&lt;&gt;L95,"Pogrešna kontrolna cifra - treba "&amp;L95,"✓ ispravan")))))</f>
        <v/>
      </c>
      <c r="K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L95">
        <f>IF(K95="","",IF(11-MOD(K95,11)&gt;9,0,11-MOD(K95,11)))</f>
        <v/>
      </c>
      <c r="M95">
        <f>IFERROR(IF(LEN(C95)&lt;&gt;13,"",IF(VALUE(MID(C95,5,3))&gt;=800,1000,2000)+VALUE(MID(C95,5,3))),"")</f>
        <v/>
      </c>
      <c r="N95">
        <f>IFERROR(IF(M95="","",IF(AND(DAY(DATE(M95,VALUE(MID(C95,3,2)),VALUE(MID(C95,1,2))))=VALUE(MID(C95,1,2)),MONTH(DATE(M95,VALUE(MID(C95,3,2)),VALUE(MID(C95,1,2))))=VALUE(MID(C95,3,2))),DATE(M95,VALUE(MID(C95,3,2)),VALUE(MID(C95,1,2))),"")),"")</f>
        <v/>
      </c>
    </row>
    <row r="96">
      <c r="A96" s="2" t="n"/>
      <c r="B96" s="2" t="n"/>
      <c r="C96" s="3" t="n"/>
      <c r="D96" s="2" t="n"/>
      <c r="E96" s="4">
        <f>IF(A96="","",5)</f>
        <v/>
      </c>
      <c r="F96" s="2" t="n"/>
      <c r="G96" s="4" t="n"/>
      <c r="H96" s="2" t="n"/>
      <c r="I96" s="2" t="n"/>
      <c r="J96" s="2">
        <f>IF(C96="","",IF(LEN(C96)&lt;&gt;13,"Nema 13 cifara (ima "&amp;LEN(C96)&amp;")",IF(L96="","JMBG sadrži nešto što nije cifra",IF(N96="","Nepostojeći datum rođenja",IF(VALUE(MID(C96,13,1))&lt;&gt;L96,"Pogrešna kontrolna cifra - treba "&amp;L96,"✓ ispravan")))))</f>
        <v/>
      </c>
      <c r="K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L96">
        <f>IF(K96="","",IF(11-MOD(K96,11)&gt;9,0,11-MOD(K96,11)))</f>
        <v/>
      </c>
      <c r="M96">
        <f>IFERROR(IF(LEN(C96)&lt;&gt;13,"",IF(VALUE(MID(C96,5,3))&gt;=800,1000,2000)+VALUE(MID(C96,5,3))),"")</f>
        <v/>
      </c>
      <c r="N96">
        <f>IFERROR(IF(M96="","",IF(AND(DAY(DATE(M96,VALUE(MID(C96,3,2)),VALUE(MID(C96,1,2))))=VALUE(MID(C96,1,2)),MONTH(DATE(M96,VALUE(MID(C96,3,2)),VALUE(MID(C96,1,2))))=VALUE(MID(C96,3,2))),DATE(M96,VALUE(MID(C96,3,2)),VALUE(MID(C96,1,2))),"")),"")</f>
        <v/>
      </c>
    </row>
    <row r="97">
      <c r="A97" s="2" t="n"/>
      <c r="B97" s="2" t="n"/>
      <c r="C97" s="3" t="n"/>
      <c r="D97" s="2" t="n"/>
      <c r="E97" s="4">
        <f>IF(A97="","",5)</f>
        <v/>
      </c>
      <c r="F97" s="2" t="n"/>
      <c r="G97" s="4" t="n"/>
      <c r="H97" s="2" t="n"/>
      <c r="I97" s="2" t="n"/>
      <c r="J97" s="2">
        <f>IF(C97="","",IF(LEN(C97)&lt;&gt;13,"Nema 13 cifara (ima "&amp;LEN(C97)&amp;")",IF(L97="","JMBG sadrži nešto što nije cifra",IF(N97="","Nepostojeći datum rođenja",IF(VALUE(MID(C97,13,1))&lt;&gt;L97,"Pogrešna kontrolna cifra - treba "&amp;L97,"✓ ispravan")))))</f>
        <v/>
      </c>
      <c r="K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L97">
        <f>IF(K97="","",IF(11-MOD(K97,11)&gt;9,0,11-MOD(K97,11)))</f>
        <v/>
      </c>
      <c r="M97">
        <f>IFERROR(IF(LEN(C97)&lt;&gt;13,"",IF(VALUE(MID(C97,5,3))&gt;=800,1000,2000)+VALUE(MID(C97,5,3))),"")</f>
        <v/>
      </c>
      <c r="N97">
        <f>IFERROR(IF(M97="","",IF(AND(DAY(DATE(M97,VALUE(MID(C97,3,2)),VALUE(MID(C97,1,2))))=VALUE(MID(C97,1,2)),MONTH(DATE(M97,VALUE(MID(C97,3,2)),VALUE(MID(C97,1,2))))=VALUE(MID(C97,3,2))),DATE(M97,VALUE(MID(C97,3,2)),VALUE(MID(C97,1,2))),"")),"")</f>
        <v/>
      </c>
    </row>
    <row r="98">
      <c r="A98" s="2" t="n"/>
      <c r="B98" s="2" t="n"/>
      <c r="C98" s="3" t="n"/>
      <c r="D98" s="2" t="n"/>
      <c r="E98" s="4">
        <f>IF(A98="","",5)</f>
        <v/>
      </c>
      <c r="F98" s="2" t="n"/>
      <c r="G98" s="4" t="n"/>
      <c r="H98" s="2" t="n"/>
      <c r="I98" s="2" t="n"/>
      <c r="J98" s="2">
        <f>IF(C98="","",IF(LEN(C98)&lt;&gt;13,"Nema 13 cifara (ima "&amp;LEN(C98)&amp;")",IF(L98="","JMBG sadrži nešto što nije cifra",IF(N98="","Nepostojeći datum rođenja",IF(VALUE(MID(C98,13,1))&lt;&gt;L98,"Pogrešna kontrolna cifra - treba "&amp;L98,"✓ ispravan")))))</f>
        <v/>
      </c>
      <c r="K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L98">
        <f>IF(K98="","",IF(11-MOD(K98,11)&gt;9,0,11-MOD(K98,11)))</f>
        <v/>
      </c>
      <c r="M98">
        <f>IFERROR(IF(LEN(C98)&lt;&gt;13,"",IF(VALUE(MID(C98,5,3))&gt;=800,1000,2000)+VALUE(MID(C98,5,3))),"")</f>
        <v/>
      </c>
      <c r="N98">
        <f>IFERROR(IF(M98="","",IF(AND(DAY(DATE(M98,VALUE(MID(C98,3,2)),VALUE(MID(C98,1,2))))=VALUE(MID(C98,1,2)),MONTH(DATE(M98,VALUE(MID(C98,3,2)),VALUE(MID(C98,1,2))))=VALUE(MID(C98,3,2))),DATE(M98,VALUE(MID(C98,3,2)),VALUE(MID(C98,1,2))),"")),"")</f>
        <v/>
      </c>
    </row>
    <row r="99">
      <c r="A99" s="2" t="n"/>
      <c r="B99" s="2" t="n"/>
      <c r="C99" s="3" t="n"/>
      <c r="D99" s="2" t="n"/>
      <c r="E99" s="4">
        <f>IF(A99="","",5)</f>
        <v/>
      </c>
      <c r="F99" s="2" t="n"/>
      <c r="G99" s="4" t="n"/>
      <c r="H99" s="2" t="n"/>
      <c r="I99" s="2" t="n"/>
      <c r="J99" s="2">
        <f>IF(C99="","",IF(LEN(C99)&lt;&gt;13,"Nema 13 cifara (ima "&amp;LEN(C99)&amp;")",IF(L99="","JMBG sadrži nešto što nije cifra",IF(N99="","Nepostojeći datum rođenja",IF(VALUE(MID(C99,13,1))&lt;&gt;L99,"Pogrešna kontrolna cifra - treba "&amp;L99,"✓ ispravan")))))</f>
        <v/>
      </c>
      <c r="K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L99">
        <f>IF(K99="","",IF(11-MOD(K99,11)&gt;9,0,11-MOD(K99,11)))</f>
        <v/>
      </c>
      <c r="M99">
        <f>IFERROR(IF(LEN(C99)&lt;&gt;13,"",IF(VALUE(MID(C99,5,3))&gt;=800,1000,2000)+VALUE(MID(C99,5,3))),"")</f>
        <v/>
      </c>
      <c r="N99">
        <f>IFERROR(IF(M99="","",IF(AND(DAY(DATE(M99,VALUE(MID(C99,3,2)),VALUE(MID(C99,1,2))))=VALUE(MID(C99,1,2)),MONTH(DATE(M99,VALUE(MID(C99,3,2)),VALUE(MID(C99,1,2))))=VALUE(MID(C99,3,2))),DATE(M99,VALUE(MID(C99,3,2)),VALUE(MID(C99,1,2))),"")),"")</f>
        <v/>
      </c>
    </row>
    <row r="100">
      <c r="A100" s="2" t="n"/>
      <c r="B100" s="2" t="n"/>
      <c r="C100" s="3" t="n"/>
      <c r="D100" s="2" t="n"/>
      <c r="E100" s="4">
        <f>IF(A100="","",5)</f>
        <v/>
      </c>
      <c r="F100" s="2" t="n"/>
      <c r="G100" s="4" t="n"/>
      <c r="H100" s="2" t="n"/>
      <c r="I100" s="2" t="n"/>
      <c r="J100" s="2">
        <f>IF(C100="","",IF(LEN(C100)&lt;&gt;13,"Nema 13 cifara (ima "&amp;LEN(C100)&amp;")",IF(L100="","JMBG sadrži nešto što nije cifra",IF(N100="","Nepostojeći datum rođenja",IF(VALUE(MID(C100,13,1))&lt;&gt;L100,"Pogrešna kontrolna cifra - treba "&amp;L100,"✓ ispravan")))))</f>
        <v/>
      </c>
      <c r="K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L100">
        <f>IF(K100="","",IF(11-MOD(K100,11)&gt;9,0,11-MOD(K100,11)))</f>
        <v/>
      </c>
      <c r="M100">
        <f>IFERROR(IF(LEN(C100)&lt;&gt;13,"",IF(VALUE(MID(C100,5,3))&gt;=800,1000,2000)+VALUE(MID(C100,5,3))),"")</f>
        <v/>
      </c>
      <c r="N100">
        <f>IFERROR(IF(M100="","",IF(AND(DAY(DATE(M100,VALUE(MID(C100,3,2)),VALUE(MID(C100,1,2))))=VALUE(MID(C100,1,2)),MONTH(DATE(M100,VALUE(MID(C100,3,2)),VALUE(MID(C100,1,2))))=VALUE(MID(C100,3,2))),DATE(M100,VALUE(MID(C100,3,2)),VALUE(MID(C100,1,2))),"")),"")</f>
        <v/>
      </c>
    </row>
    <row r="101">
      <c r="A101" s="2" t="n"/>
      <c r="B101" s="2" t="n"/>
      <c r="C101" s="3" t="n"/>
      <c r="D101" s="2" t="n"/>
      <c r="E101" s="4">
        <f>IF(A101="","",5)</f>
        <v/>
      </c>
      <c r="F101" s="2" t="n"/>
      <c r="G101" s="4" t="n"/>
      <c r="H101" s="2" t="n"/>
      <c r="I101" s="2" t="n"/>
      <c r="J101" s="2">
        <f>IF(C101="","",IF(LEN(C101)&lt;&gt;13,"Nema 13 cifara (ima "&amp;LEN(C101)&amp;")",IF(L101="","JMBG sadrži nešto što nije cifra",IF(N101="","Nepostojeći datum rođenja",IF(VALUE(MID(C101,13,1))&lt;&gt;L101,"Pogrešna kontrolna cifra - treba "&amp;L101,"✓ ispravan")))))</f>
        <v/>
      </c>
      <c r="K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L101">
        <f>IF(K101="","",IF(11-MOD(K101,11)&gt;9,0,11-MOD(K101,11)))</f>
        <v/>
      </c>
      <c r="M101">
        <f>IFERROR(IF(LEN(C101)&lt;&gt;13,"",IF(VALUE(MID(C101,5,3))&gt;=800,1000,2000)+VALUE(MID(C101,5,3))),"")</f>
        <v/>
      </c>
      <c r="N101">
        <f>IFERROR(IF(M101="","",IF(AND(DAY(DATE(M101,VALUE(MID(C101,3,2)),VALUE(MID(C101,1,2))))=VALUE(MID(C101,1,2)),MONTH(DATE(M101,VALUE(MID(C101,3,2)),VALUE(MID(C101,1,2))))=VALUE(MID(C101,3,2))),DATE(M101,VALUE(MID(C101,3,2)),VALUE(MID(C101,1,2))),"")),"")</f>
        <v/>
      </c>
    </row>
    <row r="102">
      <c r="A102" s="2" t="n"/>
      <c r="B102" s="2" t="n"/>
      <c r="C102" s="3" t="n"/>
      <c r="D102" s="2" t="n"/>
      <c r="E102" s="4">
        <f>IF(A102="","",5)</f>
        <v/>
      </c>
      <c r="F102" s="2" t="n"/>
      <c r="G102" s="4" t="n"/>
      <c r="H102" s="2" t="n"/>
      <c r="I102" s="2" t="n"/>
      <c r="J102" s="2">
        <f>IF(C102="","",IF(LEN(C102)&lt;&gt;13,"Nema 13 cifara (ima "&amp;LEN(C102)&amp;")",IF(L102="","JMBG sadrži nešto što nije cifra",IF(N102="","Nepostojeći datum rođenja",IF(VALUE(MID(C102,13,1))&lt;&gt;L102,"Pogrešna kontrolna cifra - treba "&amp;L102,"✓ ispravan")))))</f>
        <v/>
      </c>
      <c r="K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L102">
        <f>IF(K102="","",IF(11-MOD(K102,11)&gt;9,0,11-MOD(K102,11)))</f>
        <v/>
      </c>
      <c r="M102">
        <f>IFERROR(IF(LEN(C102)&lt;&gt;13,"",IF(VALUE(MID(C102,5,3))&gt;=800,1000,2000)+VALUE(MID(C102,5,3))),"")</f>
        <v/>
      </c>
      <c r="N102">
        <f>IFERROR(IF(M102="","",IF(AND(DAY(DATE(M102,VALUE(MID(C102,3,2)),VALUE(MID(C102,1,2))))=VALUE(MID(C102,1,2)),MONTH(DATE(M102,VALUE(MID(C102,3,2)),VALUE(MID(C102,1,2))))=VALUE(MID(C102,3,2))),DATE(M102,VALUE(MID(C102,3,2)),VALUE(MID(C102,1,2))),"")),"")</f>
        <v/>
      </c>
    </row>
    <row r="103">
      <c r="A103" s="2" t="n"/>
      <c r="B103" s="2" t="n"/>
      <c r="C103" s="3" t="n"/>
      <c r="D103" s="2" t="n"/>
      <c r="E103" s="4">
        <f>IF(A103="","",5)</f>
        <v/>
      </c>
      <c r="F103" s="2" t="n"/>
      <c r="G103" s="4" t="n"/>
      <c r="H103" s="2" t="n"/>
      <c r="I103" s="2" t="n"/>
      <c r="J103" s="2">
        <f>IF(C103="","",IF(LEN(C103)&lt;&gt;13,"Nema 13 cifara (ima "&amp;LEN(C103)&amp;")",IF(L103="","JMBG sadrži nešto što nije cifra",IF(N103="","Nepostojeći datum rođenja",IF(VALUE(MID(C103,13,1))&lt;&gt;L103,"Pogrešna kontrolna cifra - treba "&amp;L103,"✓ ispravan")))))</f>
        <v/>
      </c>
      <c r="K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L103">
        <f>IF(K103="","",IF(11-MOD(K103,11)&gt;9,0,11-MOD(K103,11)))</f>
        <v/>
      </c>
      <c r="M103">
        <f>IFERROR(IF(LEN(C103)&lt;&gt;13,"",IF(VALUE(MID(C103,5,3))&gt;=800,1000,2000)+VALUE(MID(C103,5,3))),"")</f>
        <v/>
      </c>
      <c r="N103">
        <f>IFERROR(IF(M103="","",IF(AND(DAY(DATE(M103,VALUE(MID(C103,3,2)),VALUE(MID(C103,1,2))))=VALUE(MID(C103,1,2)),MONTH(DATE(M103,VALUE(MID(C103,3,2)),VALUE(MID(C103,1,2))))=VALUE(MID(C103,3,2))),DATE(M103,VALUE(MID(C103,3,2)),VALUE(MID(C103,1,2))),"")),"")</f>
        <v/>
      </c>
    </row>
    <row r="104">
      <c r="A104" s="2" t="n"/>
      <c r="B104" s="2" t="n"/>
      <c r="C104" s="3" t="n"/>
      <c r="D104" s="2" t="n"/>
      <c r="E104" s="4">
        <f>IF(A104="","",5)</f>
        <v/>
      </c>
      <c r="F104" s="2" t="n"/>
      <c r="G104" s="4" t="n"/>
      <c r="H104" s="2" t="n"/>
      <c r="I104" s="2" t="n"/>
      <c r="J104" s="2">
        <f>IF(C104="","",IF(LEN(C104)&lt;&gt;13,"Nema 13 cifara (ima "&amp;LEN(C104)&amp;")",IF(L104="","JMBG sadrži nešto što nije cifra",IF(N104="","Nepostojeći datum rođenja",IF(VALUE(MID(C104,13,1))&lt;&gt;L104,"Pogrešna kontrolna cifra - treba "&amp;L104,"✓ ispravan")))))</f>
        <v/>
      </c>
      <c r="K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L104">
        <f>IF(K104="","",IF(11-MOD(K104,11)&gt;9,0,11-MOD(K104,11)))</f>
        <v/>
      </c>
      <c r="M104">
        <f>IFERROR(IF(LEN(C104)&lt;&gt;13,"",IF(VALUE(MID(C104,5,3))&gt;=800,1000,2000)+VALUE(MID(C104,5,3))),"")</f>
        <v/>
      </c>
      <c r="N104">
        <f>IFERROR(IF(M104="","",IF(AND(DAY(DATE(M104,VALUE(MID(C104,3,2)),VALUE(MID(C104,1,2))))=VALUE(MID(C104,1,2)),MONTH(DATE(M104,VALUE(MID(C104,3,2)),VALUE(MID(C104,1,2))))=VALUE(MID(C104,3,2))),DATE(M104,VALUE(MID(C104,3,2)),VALUE(MID(C104,1,2))),"")),"")</f>
        <v/>
      </c>
    </row>
    <row r="105">
      <c r="A105" s="2" t="n"/>
      <c r="B105" s="2" t="n"/>
      <c r="C105" s="3" t="n"/>
      <c r="D105" s="2" t="n"/>
      <c r="E105" s="4">
        <f>IF(A105="","",5)</f>
        <v/>
      </c>
      <c r="F105" s="2" t="n"/>
      <c r="G105" s="4" t="n"/>
      <c r="H105" s="2" t="n"/>
      <c r="I105" s="2" t="n"/>
      <c r="J105" s="2">
        <f>IF(C105="","",IF(LEN(C105)&lt;&gt;13,"Nema 13 cifara (ima "&amp;LEN(C105)&amp;")",IF(L105="","JMBG sadrži nešto što nije cifra",IF(N105="","Nepostojeći datum rođenja",IF(VALUE(MID(C105,13,1))&lt;&gt;L105,"Pogrešna kontrolna cifra - treba "&amp;L105,"✓ ispravan")))))</f>
        <v/>
      </c>
      <c r="K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L105">
        <f>IF(K105="","",IF(11-MOD(K105,11)&gt;9,0,11-MOD(K105,11)))</f>
        <v/>
      </c>
      <c r="M105">
        <f>IFERROR(IF(LEN(C105)&lt;&gt;13,"",IF(VALUE(MID(C105,5,3))&gt;=800,1000,2000)+VALUE(MID(C105,5,3))),"")</f>
        <v/>
      </c>
      <c r="N105">
        <f>IFERROR(IF(M105="","",IF(AND(DAY(DATE(M105,VALUE(MID(C105,3,2)),VALUE(MID(C105,1,2))))=VALUE(MID(C105,1,2)),MONTH(DATE(M105,VALUE(MID(C105,3,2)),VALUE(MID(C105,1,2))))=VALUE(MID(C105,3,2))),DATE(M105,VALUE(MID(C105,3,2)),VALUE(MID(C105,1,2))),"")),"")</f>
        <v/>
      </c>
    </row>
    <row r="106">
      <c r="A106" s="2" t="n"/>
      <c r="B106" s="2" t="n"/>
      <c r="C106" s="3" t="n"/>
      <c r="D106" s="2" t="n"/>
      <c r="E106" s="4">
        <f>IF(A106="","",5)</f>
        <v/>
      </c>
      <c r="F106" s="2" t="n"/>
      <c r="G106" s="4" t="n"/>
      <c r="H106" s="2" t="n"/>
      <c r="I106" s="2" t="n"/>
      <c r="J106" s="2">
        <f>IF(C106="","",IF(LEN(C106)&lt;&gt;13,"Nema 13 cifara (ima "&amp;LEN(C106)&amp;")",IF(L106="","JMBG sadrži nešto što nije cifra",IF(N106="","Nepostojeći datum rođenja",IF(VALUE(MID(C106,13,1))&lt;&gt;L106,"Pogrešna kontrolna cifra - treba "&amp;L106,"✓ ispravan")))))</f>
        <v/>
      </c>
      <c r="K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L106">
        <f>IF(K106="","",IF(11-MOD(K106,11)&gt;9,0,11-MOD(K106,11)))</f>
        <v/>
      </c>
      <c r="M106">
        <f>IFERROR(IF(LEN(C106)&lt;&gt;13,"",IF(VALUE(MID(C106,5,3))&gt;=800,1000,2000)+VALUE(MID(C106,5,3))),"")</f>
        <v/>
      </c>
      <c r="N106">
        <f>IFERROR(IF(M106="","",IF(AND(DAY(DATE(M106,VALUE(MID(C106,3,2)),VALUE(MID(C106,1,2))))=VALUE(MID(C106,1,2)),MONTH(DATE(M106,VALUE(MID(C106,3,2)),VALUE(MID(C106,1,2))))=VALUE(MID(C106,3,2))),DATE(M106,VALUE(MID(C106,3,2)),VALUE(MID(C106,1,2))),"")),"")</f>
        <v/>
      </c>
    </row>
    <row r="107">
      <c r="A107" s="2" t="n"/>
      <c r="B107" s="2" t="n"/>
      <c r="C107" s="3" t="n"/>
      <c r="D107" s="2" t="n"/>
      <c r="E107" s="4">
        <f>IF(A107="","",5)</f>
        <v/>
      </c>
      <c r="F107" s="2" t="n"/>
      <c r="G107" s="4" t="n"/>
      <c r="H107" s="2" t="n"/>
      <c r="I107" s="2" t="n"/>
      <c r="J107" s="2">
        <f>IF(C107="","",IF(LEN(C107)&lt;&gt;13,"Nema 13 cifara (ima "&amp;LEN(C107)&amp;")",IF(L107="","JMBG sadrži nešto što nije cifra",IF(N107="","Nepostojeći datum rođenja",IF(VALUE(MID(C107,13,1))&lt;&gt;L107,"Pogrešna kontrolna cifra - treba "&amp;L107,"✓ ispravan")))))</f>
        <v/>
      </c>
      <c r="K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L107">
        <f>IF(K107="","",IF(11-MOD(K107,11)&gt;9,0,11-MOD(K107,11)))</f>
        <v/>
      </c>
      <c r="M107">
        <f>IFERROR(IF(LEN(C107)&lt;&gt;13,"",IF(VALUE(MID(C107,5,3))&gt;=800,1000,2000)+VALUE(MID(C107,5,3))),"")</f>
        <v/>
      </c>
      <c r="N107">
        <f>IFERROR(IF(M107="","",IF(AND(DAY(DATE(M107,VALUE(MID(C107,3,2)),VALUE(MID(C107,1,2))))=VALUE(MID(C107,1,2)),MONTH(DATE(M107,VALUE(MID(C107,3,2)),VALUE(MID(C107,1,2))))=VALUE(MID(C107,3,2))),DATE(M107,VALUE(MID(C107,3,2)),VALUE(MID(C107,1,2))),"")),"")</f>
        <v/>
      </c>
    </row>
    <row r="108">
      <c r="A108" s="2" t="n"/>
      <c r="B108" s="2" t="n"/>
      <c r="C108" s="3" t="n"/>
      <c r="D108" s="2" t="n"/>
      <c r="E108" s="4">
        <f>IF(A108="","",5)</f>
        <v/>
      </c>
      <c r="F108" s="2" t="n"/>
      <c r="G108" s="4" t="n"/>
      <c r="H108" s="2" t="n"/>
      <c r="I108" s="2" t="n"/>
      <c r="J108" s="2">
        <f>IF(C108="","",IF(LEN(C108)&lt;&gt;13,"Nema 13 cifara (ima "&amp;LEN(C108)&amp;")",IF(L108="","JMBG sadrži nešto što nije cifra",IF(N108="","Nepostojeći datum rođenja",IF(VALUE(MID(C108,13,1))&lt;&gt;L108,"Pogrešna kontrolna cifra - treba "&amp;L108,"✓ ispravan")))))</f>
        <v/>
      </c>
      <c r="K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L108">
        <f>IF(K108="","",IF(11-MOD(K108,11)&gt;9,0,11-MOD(K108,11)))</f>
        <v/>
      </c>
      <c r="M108">
        <f>IFERROR(IF(LEN(C108)&lt;&gt;13,"",IF(VALUE(MID(C108,5,3))&gt;=800,1000,2000)+VALUE(MID(C108,5,3))),"")</f>
        <v/>
      </c>
      <c r="N108">
        <f>IFERROR(IF(M108="","",IF(AND(DAY(DATE(M108,VALUE(MID(C108,3,2)),VALUE(MID(C108,1,2))))=VALUE(MID(C108,1,2)),MONTH(DATE(M108,VALUE(MID(C108,3,2)),VALUE(MID(C108,1,2))))=VALUE(MID(C108,3,2))),DATE(M108,VALUE(MID(C108,3,2)),VALUE(MID(C108,1,2))),"")),"")</f>
        <v/>
      </c>
    </row>
    <row r="109">
      <c r="A109" s="2" t="n"/>
      <c r="B109" s="2" t="n"/>
      <c r="C109" s="3" t="n"/>
      <c r="D109" s="2" t="n"/>
      <c r="E109" s="4">
        <f>IF(A109="","",5)</f>
        <v/>
      </c>
      <c r="F109" s="2" t="n"/>
      <c r="G109" s="4" t="n"/>
      <c r="H109" s="2" t="n"/>
      <c r="I109" s="2" t="n"/>
      <c r="J109" s="2">
        <f>IF(C109="","",IF(LEN(C109)&lt;&gt;13,"Nema 13 cifara (ima "&amp;LEN(C109)&amp;")",IF(L109="","JMBG sadrži nešto što nije cifra",IF(N109="","Nepostojeći datum rođenja",IF(VALUE(MID(C109,13,1))&lt;&gt;L109,"Pogrešna kontrolna cifra - treba "&amp;L109,"✓ ispravan")))))</f>
        <v/>
      </c>
      <c r="K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L109">
        <f>IF(K109="","",IF(11-MOD(K109,11)&gt;9,0,11-MOD(K109,11)))</f>
        <v/>
      </c>
      <c r="M109">
        <f>IFERROR(IF(LEN(C109)&lt;&gt;13,"",IF(VALUE(MID(C109,5,3))&gt;=800,1000,2000)+VALUE(MID(C109,5,3))),"")</f>
        <v/>
      </c>
      <c r="N109">
        <f>IFERROR(IF(M109="","",IF(AND(DAY(DATE(M109,VALUE(MID(C109,3,2)),VALUE(MID(C109,1,2))))=VALUE(MID(C109,1,2)),MONTH(DATE(M109,VALUE(MID(C109,3,2)),VALUE(MID(C109,1,2))))=VALUE(MID(C109,3,2))),DATE(M109,VALUE(MID(C109,3,2)),VALUE(MID(C109,1,2))),"")),"")</f>
        <v/>
      </c>
    </row>
    <row r="110">
      <c r="A110" s="2" t="n"/>
      <c r="B110" s="2" t="n"/>
      <c r="C110" s="3" t="n"/>
      <c r="D110" s="2" t="n"/>
      <c r="E110" s="4">
        <f>IF(A110="","",5)</f>
        <v/>
      </c>
      <c r="F110" s="2" t="n"/>
      <c r="G110" s="4" t="n"/>
      <c r="H110" s="2" t="n"/>
      <c r="I110" s="2" t="n"/>
      <c r="J110" s="2">
        <f>IF(C110="","",IF(LEN(C110)&lt;&gt;13,"Nema 13 cifara (ima "&amp;LEN(C110)&amp;")",IF(L110="","JMBG sadrži nešto što nije cifra",IF(N110="","Nepostojeći datum rođenja",IF(VALUE(MID(C110,13,1))&lt;&gt;L110,"Pogrešna kontrolna cifra - treba "&amp;L110,"✓ ispravan")))))</f>
        <v/>
      </c>
      <c r="K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L110">
        <f>IF(K110="","",IF(11-MOD(K110,11)&gt;9,0,11-MOD(K110,11)))</f>
        <v/>
      </c>
      <c r="M110">
        <f>IFERROR(IF(LEN(C110)&lt;&gt;13,"",IF(VALUE(MID(C110,5,3))&gt;=800,1000,2000)+VALUE(MID(C110,5,3))),"")</f>
        <v/>
      </c>
      <c r="N110">
        <f>IFERROR(IF(M110="","",IF(AND(DAY(DATE(M110,VALUE(MID(C110,3,2)),VALUE(MID(C110,1,2))))=VALUE(MID(C110,1,2)),MONTH(DATE(M110,VALUE(MID(C110,3,2)),VALUE(MID(C110,1,2))))=VALUE(MID(C110,3,2))),DATE(M110,VALUE(MID(C110,3,2)),VALUE(MID(C110,1,2))),"")),"")</f>
        <v/>
      </c>
    </row>
    <row r="111">
      <c r="A111" s="2" t="n"/>
      <c r="B111" s="2" t="n"/>
      <c r="C111" s="3" t="n"/>
      <c r="D111" s="2" t="n"/>
      <c r="E111" s="4">
        <f>IF(A111="","",5)</f>
        <v/>
      </c>
      <c r="F111" s="2" t="n"/>
      <c r="G111" s="4" t="n"/>
      <c r="H111" s="2" t="n"/>
      <c r="I111" s="2" t="n"/>
      <c r="J111" s="2">
        <f>IF(C111="","",IF(LEN(C111)&lt;&gt;13,"Nema 13 cifara (ima "&amp;LEN(C111)&amp;")",IF(L111="","JMBG sadrži nešto što nije cifra",IF(N111="","Nepostojeći datum rođenja",IF(VALUE(MID(C111,13,1))&lt;&gt;L111,"Pogrešna kontrolna cifra - treba "&amp;L111,"✓ ispravan")))))</f>
        <v/>
      </c>
      <c r="K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L111">
        <f>IF(K111="","",IF(11-MOD(K111,11)&gt;9,0,11-MOD(K111,11)))</f>
        <v/>
      </c>
      <c r="M111">
        <f>IFERROR(IF(LEN(C111)&lt;&gt;13,"",IF(VALUE(MID(C111,5,3))&gt;=800,1000,2000)+VALUE(MID(C111,5,3))),"")</f>
        <v/>
      </c>
      <c r="N111">
        <f>IFERROR(IF(M111="","",IF(AND(DAY(DATE(M111,VALUE(MID(C111,3,2)),VALUE(MID(C111,1,2))))=VALUE(MID(C111,1,2)),MONTH(DATE(M111,VALUE(MID(C111,3,2)),VALUE(MID(C111,1,2))))=VALUE(MID(C111,3,2))),DATE(M111,VALUE(MID(C111,3,2)),VALUE(MID(C111,1,2))),"")),"")</f>
        <v/>
      </c>
    </row>
    <row r="112">
      <c r="A112" s="2" t="n"/>
      <c r="B112" s="2" t="n"/>
      <c r="C112" s="3" t="n"/>
      <c r="D112" s="2" t="n"/>
      <c r="E112" s="4">
        <f>IF(A112="","",5)</f>
        <v/>
      </c>
      <c r="F112" s="2" t="n"/>
      <c r="G112" s="4" t="n"/>
      <c r="H112" s="2" t="n"/>
      <c r="I112" s="2" t="n"/>
      <c r="J112" s="2">
        <f>IF(C112="","",IF(LEN(C112)&lt;&gt;13,"Nema 13 cifara (ima "&amp;LEN(C112)&amp;")",IF(L112="","JMBG sadrži nešto što nije cifra",IF(N112="","Nepostojeći datum rođenja",IF(VALUE(MID(C112,13,1))&lt;&gt;L112,"Pogrešna kontrolna cifra - treba "&amp;L112,"✓ ispravan")))))</f>
        <v/>
      </c>
      <c r="K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L112">
        <f>IF(K112="","",IF(11-MOD(K112,11)&gt;9,0,11-MOD(K112,11)))</f>
        <v/>
      </c>
      <c r="M112">
        <f>IFERROR(IF(LEN(C112)&lt;&gt;13,"",IF(VALUE(MID(C112,5,3))&gt;=800,1000,2000)+VALUE(MID(C112,5,3))),"")</f>
        <v/>
      </c>
      <c r="N112">
        <f>IFERROR(IF(M112="","",IF(AND(DAY(DATE(M112,VALUE(MID(C112,3,2)),VALUE(MID(C112,1,2))))=VALUE(MID(C112,1,2)),MONTH(DATE(M112,VALUE(MID(C112,3,2)),VALUE(MID(C112,1,2))))=VALUE(MID(C112,3,2))),DATE(M112,VALUE(MID(C112,3,2)),VALUE(MID(C112,1,2))),"")),"")</f>
        <v/>
      </c>
    </row>
    <row r="113">
      <c r="A113" s="2" t="n"/>
      <c r="B113" s="2" t="n"/>
      <c r="C113" s="3" t="n"/>
      <c r="D113" s="2" t="n"/>
      <c r="E113" s="4">
        <f>IF(A113="","",5)</f>
        <v/>
      </c>
      <c r="F113" s="2" t="n"/>
      <c r="G113" s="4" t="n"/>
      <c r="H113" s="2" t="n"/>
      <c r="I113" s="2" t="n"/>
      <c r="J113" s="2">
        <f>IF(C113="","",IF(LEN(C113)&lt;&gt;13,"Nema 13 cifara (ima "&amp;LEN(C113)&amp;")",IF(L113="","JMBG sadrži nešto što nije cifra",IF(N113="","Nepostojeći datum rođenja",IF(VALUE(MID(C113,13,1))&lt;&gt;L113,"Pogrešna kontrolna cifra - treba "&amp;L113,"✓ ispravan")))))</f>
        <v/>
      </c>
      <c r="K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L113">
        <f>IF(K113="","",IF(11-MOD(K113,11)&gt;9,0,11-MOD(K113,11)))</f>
        <v/>
      </c>
      <c r="M113">
        <f>IFERROR(IF(LEN(C113)&lt;&gt;13,"",IF(VALUE(MID(C113,5,3))&gt;=800,1000,2000)+VALUE(MID(C113,5,3))),"")</f>
        <v/>
      </c>
      <c r="N113">
        <f>IFERROR(IF(M113="","",IF(AND(DAY(DATE(M113,VALUE(MID(C113,3,2)),VALUE(MID(C113,1,2))))=VALUE(MID(C113,1,2)),MONTH(DATE(M113,VALUE(MID(C113,3,2)),VALUE(MID(C113,1,2))))=VALUE(MID(C113,3,2))),DATE(M113,VALUE(MID(C113,3,2)),VALUE(MID(C113,1,2))),"")),"")</f>
        <v/>
      </c>
    </row>
    <row r="114">
      <c r="A114" s="2" t="n"/>
      <c r="B114" s="2" t="n"/>
      <c r="C114" s="3" t="n"/>
      <c r="D114" s="2" t="n"/>
      <c r="E114" s="4">
        <f>IF(A114="","",5)</f>
        <v/>
      </c>
      <c r="F114" s="2" t="n"/>
      <c r="G114" s="4" t="n"/>
      <c r="H114" s="2" t="n"/>
      <c r="I114" s="2" t="n"/>
      <c r="J114" s="2">
        <f>IF(C114="","",IF(LEN(C114)&lt;&gt;13,"Nema 13 cifara (ima "&amp;LEN(C114)&amp;")",IF(L114="","JMBG sadrži nešto što nije cifra",IF(N114="","Nepostojeći datum rođenja",IF(VALUE(MID(C114,13,1))&lt;&gt;L114,"Pogrešna kontrolna cifra - treba "&amp;L114,"✓ ispravan")))))</f>
        <v/>
      </c>
      <c r="K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L114">
        <f>IF(K114="","",IF(11-MOD(K114,11)&gt;9,0,11-MOD(K114,11)))</f>
        <v/>
      </c>
      <c r="M114">
        <f>IFERROR(IF(LEN(C114)&lt;&gt;13,"",IF(VALUE(MID(C114,5,3))&gt;=800,1000,2000)+VALUE(MID(C114,5,3))),"")</f>
        <v/>
      </c>
      <c r="N114">
        <f>IFERROR(IF(M114="","",IF(AND(DAY(DATE(M114,VALUE(MID(C114,3,2)),VALUE(MID(C114,1,2))))=VALUE(MID(C114,1,2)),MONTH(DATE(M114,VALUE(MID(C114,3,2)),VALUE(MID(C114,1,2))))=VALUE(MID(C114,3,2))),DATE(M114,VALUE(MID(C114,3,2)),VALUE(MID(C114,1,2))),"")),"")</f>
        <v/>
      </c>
    </row>
    <row r="115">
      <c r="A115" s="2" t="n"/>
      <c r="B115" s="2" t="n"/>
      <c r="C115" s="3" t="n"/>
      <c r="D115" s="2" t="n"/>
      <c r="E115" s="4">
        <f>IF(A115="","",5)</f>
        <v/>
      </c>
      <c r="F115" s="2" t="n"/>
      <c r="G115" s="4" t="n"/>
      <c r="H115" s="2" t="n"/>
      <c r="I115" s="2" t="n"/>
      <c r="J115" s="2">
        <f>IF(C115="","",IF(LEN(C115)&lt;&gt;13,"Nema 13 cifara (ima "&amp;LEN(C115)&amp;")",IF(L115="","JMBG sadrži nešto što nije cifra",IF(N115="","Nepostojeći datum rođenja",IF(VALUE(MID(C115,13,1))&lt;&gt;L115,"Pogrešna kontrolna cifra - treba "&amp;L115,"✓ ispravan")))))</f>
        <v/>
      </c>
      <c r="K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L115">
        <f>IF(K115="","",IF(11-MOD(K115,11)&gt;9,0,11-MOD(K115,11)))</f>
        <v/>
      </c>
      <c r="M115">
        <f>IFERROR(IF(LEN(C115)&lt;&gt;13,"",IF(VALUE(MID(C115,5,3))&gt;=800,1000,2000)+VALUE(MID(C115,5,3))),"")</f>
        <v/>
      </c>
      <c r="N115">
        <f>IFERROR(IF(M115="","",IF(AND(DAY(DATE(M115,VALUE(MID(C115,3,2)),VALUE(MID(C115,1,2))))=VALUE(MID(C115,1,2)),MONTH(DATE(M115,VALUE(MID(C115,3,2)),VALUE(MID(C115,1,2))))=VALUE(MID(C115,3,2))),DATE(M115,VALUE(MID(C115,3,2)),VALUE(MID(C115,1,2))),"")),"")</f>
        <v/>
      </c>
    </row>
    <row r="116">
      <c r="A116" s="2" t="n"/>
      <c r="B116" s="2" t="n"/>
      <c r="C116" s="3" t="n"/>
      <c r="D116" s="2" t="n"/>
      <c r="E116" s="4">
        <f>IF(A116="","",5)</f>
        <v/>
      </c>
      <c r="F116" s="2" t="n"/>
      <c r="G116" s="4" t="n"/>
      <c r="H116" s="2" t="n"/>
      <c r="I116" s="2" t="n"/>
      <c r="J116" s="2">
        <f>IF(C116="","",IF(LEN(C116)&lt;&gt;13,"Nema 13 cifara (ima "&amp;LEN(C116)&amp;")",IF(L116="","JMBG sadrži nešto što nije cifra",IF(N116="","Nepostojeći datum rođenja",IF(VALUE(MID(C116,13,1))&lt;&gt;L116,"Pogrešna kontrolna cifra - treba "&amp;L116,"✓ ispravan")))))</f>
        <v/>
      </c>
      <c r="K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L116">
        <f>IF(K116="","",IF(11-MOD(K116,11)&gt;9,0,11-MOD(K116,11)))</f>
        <v/>
      </c>
      <c r="M116">
        <f>IFERROR(IF(LEN(C116)&lt;&gt;13,"",IF(VALUE(MID(C116,5,3))&gt;=800,1000,2000)+VALUE(MID(C116,5,3))),"")</f>
        <v/>
      </c>
      <c r="N116">
        <f>IFERROR(IF(M116="","",IF(AND(DAY(DATE(M116,VALUE(MID(C116,3,2)),VALUE(MID(C116,1,2))))=VALUE(MID(C116,1,2)),MONTH(DATE(M116,VALUE(MID(C116,3,2)),VALUE(MID(C116,1,2))))=VALUE(MID(C116,3,2))),DATE(M116,VALUE(MID(C116,3,2)),VALUE(MID(C116,1,2))),"")),"")</f>
        <v/>
      </c>
    </row>
    <row r="117">
      <c r="A117" s="2" t="n"/>
      <c r="B117" s="2" t="n"/>
      <c r="C117" s="3" t="n"/>
      <c r="D117" s="2" t="n"/>
      <c r="E117" s="4">
        <f>IF(A117="","",5)</f>
        <v/>
      </c>
      <c r="F117" s="2" t="n"/>
      <c r="G117" s="4" t="n"/>
      <c r="H117" s="2" t="n"/>
      <c r="I117" s="2" t="n"/>
      <c r="J117" s="2">
        <f>IF(C117="","",IF(LEN(C117)&lt;&gt;13,"Nema 13 cifara (ima "&amp;LEN(C117)&amp;")",IF(L117="","JMBG sadrži nešto što nije cifra",IF(N117="","Nepostojeći datum rođenja",IF(VALUE(MID(C117,13,1))&lt;&gt;L117,"Pogrešna kontrolna cifra - treba "&amp;L117,"✓ ispravan")))))</f>
        <v/>
      </c>
      <c r="K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L117">
        <f>IF(K117="","",IF(11-MOD(K117,11)&gt;9,0,11-MOD(K117,11)))</f>
        <v/>
      </c>
      <c r="M117">
        <f>IFERROR(IF(LEN(C117)&lt;&gt;13,"",IF(VALUE(MID(C117,5,3))&gt;=800,1000,2000)+VALUE(MID(C117,5,3))),"")</f>
        <v/>
      </c>
      <c r="N117">
        <f>IFERROR(IF(M117="","",IF(AND(DAY(DATE(M117,VALUE(MID(C117,3,2)),VALUE(MID(C117,1,2))))=VALUE(MID(C117,1,2)),MONTH(DATE(M117,VALUE(MID(C117,3,2)),VALUE(MID(C117,1,2))))=VALUE(MID(C117,3,2))),DATE(M117,VALUE(MID(C117,3,2)),VALUE(MID(C117,1,2))),"")),"")</f>
        <v/>
      </c>
    </row>
    <row r="118">
      <c r="A118" s="2" t="n"/>
      <c r="B118" s="2" t="n"/>
      <c r="C118" s="3" t="n"/>
      <c r="D118" s="2" t="n"/>
      <c r="E118" s="4">
        <f>IF(A118="","",5)</f>
        <v/>
      </c>
      <c r="F118" s="2" t="n"/>
      <c r="G118" s="4" t="n"/>
      <c r="H118" s="2" t="n"/>
      <c r="I118" s="2" t="n"/>
      <c r="J118" s="2">
        <f>IF(C118="","",IF(LEN(C118)&lt;&gt;13,"Nema 13 cifara (ima "&amp;LEN(C118)&amp;")",IF(L118="","JMBG sadrži nešto što nije cifra",IF(N118="","Nepostojeći datum rođenja",IF(VALUE(MID(C118,13,1))&lt;&gt;L118,"Pogrešna kontrolna cifra - treba "&amp;L118,"✓ ispravan")))))</f>
        <v/>
      </c>
      <c r="K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L118">
        <f>IF(K118="","",IF(11-MOD(K118,11)&gt;9,0,11-MOD(K118,11)))</f>
        <v/>
      </c>
      <c r="M118">
        <f>IFERROR(IF(LEN(C118)&lt;&gt;13,"",IF(VALUE(MID(C118,5,3))&gt;=800,1000,2000)+VALUE(MID(C118,5,3))),"")</f>
        <v/>
      </c>
      <c r="N118">
        <f>IFERROR(IF(M118="","",IF(AND(DAY(DATE(M118,VALUE(MID(C118,3,2)),VALUE(MID(C118,1,2))))=VALUE(MID(C118,1,2)),MONTH(DATE(M118,VALUE(MID(C118,3,2)),VALUE(MID(C118,1,2))))=VALUE(MID(C118,3,2))),DATE(M118,VALUE(MID(C118,3,2)),VALUE(MID(C118,1,2))),"")),"")</f>
        <v/>
      </c>
    </row>
    <row r="119">
      <c r="A119" s="2" t="n"/>
      <c r="B119" s="2" t="n"/>
      <c r="C119" s="3" t="n"/>
      <c r="D119" s="2" t="n"/>
      <c r="E119" s="4">
        <f>IF(A119="","",5)</f>
        <v/>
      </c>
      <c r="F119" s="2" t="n"/>
      <c r="G119" s="4" t="n"/>
      <c r="H119" s="2" t="n"/>
      <c r="I119" s="2" t="n"/>
      <c r="J119" s="2">
        <f>IF(C119="","",IF(LEN(C119)&lt;&gt;13,"Nema 13 cifara (ima "&amp;LEN(C119)&amp;")",IF(L119="","JMBG sadrži nešto što nije cifra",IF(N119="","Nepostojeći datum rođenja",IF(VALUE(MID(C119,13,1))&lt;&gt;L119,"Pogrešna kontrolna cifra - treba "&amp;L119,"✓ ispravan")))))</f>
        <v/>
      </c>
      <c r="K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L119">
        <f>IF(K119="","",IF(11-MOD(K119,11)&gt;9,0,11-MOD(K119,11)))</f>
        <v/>
      </c>
      <c r="M119">
        <f>IFERROR(IF(LEN(C119)&lt;&gt;13,"",IF(VALUE(MID(C119,5,3))&gt;=800,1000,2000)+VALUE(MID(C119,5,3))),"")</f>
        <v/>
      </c>
      <c r="N119">
        <f>IFERROR(IF(M119="","",IF(AND(DAY(DATE(M119,VALUE(MID(C119,3,2)),VALUE(MID(C119,1,2))))=VALUE(MID(C119,1,2)),MONTH(DATE(M119,VALUE(MID(C119,3,2)),VALUE(MID(C119,1,2))))=VALUE(MID(C119,3,2))),DATE(M119,VALUE(MID(C119,3,2)),VALUE(MID(C119,1,2))),"")),"")</f>
        <v/>
      </c>
    </row>
    <row r="120">
      <c r="A120" s="2" t="n"/>
      <c r="B120" s="2" t="n"/>
      <c r="C120" s="3" t="n"/>
      <c r="D120" s="2" t="n"/>
      <c r="E120" s="4">
        <f>IF(A120="","",5)</f>
        <v/>
      </c>
      <c r="F120" s="2" t="n"/>
      <c r="G120" s="4" t="n"/>
      <c r="H120" s="2" t="n"/>
      <c r="I120" s="2" t="n"/>
      <c r="J120" s="2">
        <f>IF(C120="","",IF(LEN(C120)&lt;&gt;13,"Nema 13 cifara (ima "&amp;LEN(C120)&amp;")",IF(L120="","JMBG sadrži nešto što nije cifra",IF(N120="","Nepostojeći datum rođenja",IF(VALUE(MID(C120,13,1))&lt;&gt;L120,"Pogrešna kontrolna cifra - treba "&amp;L120,"✓ ispravan")))))</f>
        <v/>
      </c>
      <c r="K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L120">
        <f>IF(K120="","",IF(11-MOD(K120,11)&gt;9,0,11-MOD(K120,11)))</f>
        <v/>
      </c>
      <c r="M120">
        <f>IFERROR(IF(LEN(C120)&lt;&gt;13,"",IF(VALUE(MID(C120,5,3))&gt;=800,1000,2000)+VALUE(MID(C120,5,3))),"")</f>
        <v/>
      </c>
      <c r="N120">
        <f>IFERROR(IF(M120="","",IF(AND(DAY(DATE(M120,VALUE(MID(C120,3,2)),VALUE(MID(C120,1,2))))=VALUE(MID(C120,1,2)),MONTH(DATE(M120,VALUE(MID(C120,3,2)),VALUE(MID(C120,1,2))))=VALUE(MID(C120,3,2))),DATE(M120,VALUE(MID(C120,3,2)),VALUE(MID(C120,1,2))),"")),"")</f>
        <v/>
      </c>
    </row>
    <row r="121">
      <c r="A121" s="2" t="n"/>
      <c r="B121" s="2" t="n"/>
      <c r="C121" s="3" t="n"/>
      <c r="D121" s="2" t="n"/>
      <c r="E121" s="4">
        <f>IF(A121="","",5)</f>
        <v/>
      </c>
      <c r="F121" s="2" t="n"/>
      <c r="G121" s="4" t="n"/>
      <c r="H121" s="2" t="n"/>
      <c r="I121" s="2" t="n"/>
      <c r="J121" s="2">
        <f>IF(C121="","",IF(LEN(C121)&lt;&gt;13,"Nema 13 cifara (ima "&amp;LEN(C121)&amp;")",IF(L121="","JMBG sadrži nešto što nije cifra",IF(N121="","Nepostojeći datum rođenja",IF(VALUE(MID(C121,13,1))&lt;&gt;L121,"Pogrešna kontrolna cifra - treba "&amp;L121,"✓ ispravan")))))</f>
        <v/>
      </c>
      <c r="K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L121">
        <f>IF(K121="","",IF(11-MOD(K121,11)&gt;9,0,11-MOD(K121,11)))</f>
        <v/>
      </c>
      <c r="M121">
        <f>IFERROR(IF(LEN(C121)&lt;&gt;13,"",IF(VALUE(MID(C121,5,3))&gt;=800,1000,2000)+VALUE(MID(C121,5,3))),"")</f>
        <v/>
      </c>
      <c r="N121">
        <f>IFERROR(IF(M121="","",IF(AND(DAY(DATE(M121,VALUE(MID(C121,3,2)),VALUE(MID(C121,1,2))))=VALUE(MID(C121,1,2)),MONTH(DATE(M121,VALUE(MID(C121,3,2)),VALUE(MID(C121,1,2))))=VALUE(MID(C121,3,2))),DATE(M121,VALUE(MID(C121,3,2)),VALUE(MID(C121,1,2))),"")),"")</f>
        <v/>
      </c>
    </row>
    <row r="122">
      <c r="A122" s="2" t="n"/>
      <c r="B122" s="2" t="n"/>
      <c r="C122" s="3" t="n"/>
      <c r="D122" s="2" t="n"/>
      <c r="E122" s="4">
        <f>IF(A122="","",5)</f>
        <v/>
      </c>
      <c r="F122" s="2" t="n"/>
      <c r="G122" s="4" t="n"/>
      <c r="H122" s="2" t="n"/>
      <c r="I122" s="2" t="n"/>
      <c r="J122" s="2">
        <f>IF(C122="","",IF(LEN(C122)&lt;&gt;13,"Nema 13 cifara (ima "&amp;LEN(C122)&amp;")",IF(L122="","JMBG sadrži nešto što nije cifra",IF(N122="","Nepostojeći datum rođenja",IF(VALUE(MID(C122,13,1))&lt;&gt;L122,"Pogrešna kontrolna cifra - treba "&amp;L122,"✓ ispravan")))))</f>
        <v/>
      </c>
      <c r="K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L122">
        <f>IF(K122="","",IF(11-MOD(K122,11)&gt;9,0,11-MOD(K122,11)))</f>
        <v/>
      </c>
      <c r="M122">
        <f>IFERROR(IF(LEN(C122)&lt;&gt;13,"",IF(VALUE(MID(C122,5,3))&gt;=800,1000,2000)+VALUE(MID(C122,5,3))),"")</f>
        <v/>
      </c>
      <c r="N122">
        <f>IFERROR(IF(M122="","",IF(AND(DAY(DATE(M122,VALUE(MID(C122,3,2)),VALUE(MID(C122,1,2))))=VALUE(MID(C122,1,2)),MONTH(DATE(M122,VALUE(MID(C122,3,2)),VALUE(MID(C122,1,2))))=VALUE(MID(C122,3,2))),DATE(M122,VALUE(MID(C122,3,2)),VALUE(MID(C122,1,2))),"")),"")</f>
        <v/>
      </c>
    </row>
    <row r="123">
      <c r="A123" s="2" t="n"/>
      <c r="B123" s="2" t="n"/>
      <c r="C123" s="3" t="n"/>
      <c r="D123" s="2" t="n"/>
      <c r="E123" s="4">
        <f>IF(A123="","",5)</f>
        <v/>
      </c>
      <c r="F123" s="2" t="n"/>
      <c r="G123" s="4" t="n"/>
      <c r="H123" s="2" t="n"/>
      <c r="I123" s="2" t="n"/>
      <c r="J123" s="2">
        <f>IF(C123="","",IF(LEN(C123)&lt;&gt;13,"Nema 13 cifara (ima "&amp;LEN(C123)&amp;")",IF(L123="","JMBG sadrži nešto što nije cifra",IF(N123="","Nepostojeći datum rođenja",IF(VALUE(MID(C123,13,1))&lt;&gt;L123,"Pogrešna kontrolna cifra - treba "&amp;L123,"✓ ispravan")))))</f>
        <v/>
      </c>
      <c r="K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L123">
        <f>IF(K123="","",IF(11-MOD(K123,11)&gt;9,0,11-MOD(K123,11)))</f>
        <v/>
      </c>
      <c r="M123">
        <f>IFERROR(IF(LEN(C123)&lt;&gt;13,"",IF(VALUE(MID(C123,5,3))&gt;=800,1000,2000)+VALUE(MID(C123,5,3))),"")</f>
        <v/>
      </c>
      <c r="N123">
        <f>IFERROR(IF(M123="","",IF(AND(DAY(DATE(M123,VALUE(MID(C123,3,2)),VALUE(MID(C123,1,2))))=VALUE(MID(C123,1,2)),MONTH(DATE(M123,VALUE(MID(C123,3,2)),VALUE(MID(C123,1,2))))=VALUE(MID(C123,3,2))),DATE(M123,VALUE(MID(C123,3,2)),VALUE(MID(C123,1,2))),"")),"")</f>
        <v/>
      </c>
    </row>
    <row r="124">
      <c r="A124" s="2" t="n"/>
      <c r="B124" s="2" t="n"/>
      <c r="C124" s="3" t="n"/>
      <c r="D124" s="2" t="n"/>
      <c r="E124" s="4">
        <f>IF(A124="","",5)</f>
        <v/>
      </c>
      <c r="F124" s="2" t="n"/>
      <c r="G124" s="4" t="n"/>
      <c r="H124" s="2" t="n"/>
      <c r="I124" s="2" t="n"/>
      <c r="J124" s="2">
        <f>IF(C124="","",IF(LEN(C124)&lt;&gt;13,"Nema 13 cifara (ima "&amp;LEN(C124)&amp;")",IF(L124="","JMBG sadrži nešto što nije cifra",IF(N124="","Nepostojeći datum rođenja",IF(VALUE(MID(C124,13,1))&lt;&gt;L124,"Pogrešna kontrolna cifra - treba "&amp;L124,"✓ ispravan")))))</f>
        <v/>
      </c>
      <c r="K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L124">
        <f>IF(K124="","",IF(11-MOD(K124,11)&gt;9,0,11-MOD(K124,11)))</f>
        <v/>
      </c>
      <c r="M124">
        <f>IFERROR(IF(LEN(C124)&lt;&gt;13,"",IF(VALUE(MID(C124,5,3))&gt;=800,1000,2000)+VALUE(MID(C124,5,3))),"")</f>
        <v/>
      </c>
      <c r="N124">
        <f>IFERROR(IF(M124="","",IF(AND(DAY(DATE(M124,VALUE(MID(C124,3,2)),VALUE(MID(C124,1,2))))=VALUE(MID(C124,1,2)),MONTH(DATE(M124,VALUE(MID(C124,3,2)),VALUE(MID(C124,1,2))))=VALUE(MID(C124,3,2))),DATE(M124,VALUE(MID(C124,3,2)),VALUE(MID(C124,1,2))),"")),"")</f>
        <v/>
      </c>
    </row>
    <row r="125">
      <c r="A125" s="2" t="n"/>
      <c r="B125" s="2" t="n"/>
      <c r="C125" s="3" t="n"/>
      <c r="D125" s="2" t="n"/>
      <c r="E125" s="4">
        <f>IF(A125="","",5)</f>
        <v/>
      </c>
      <c r="F125" s="2" t="n"/>
      <c r="G125" s="4" t="n"/>
      <c r="H125" s="2" t="n"/>
      <c r="I125" s="2" t="n"/>
      <c r="J125" s="2">
        <f>IF(C125="","",IF(LEN(C125)&lt;&gt;13,"Nema 13 cifara (ima "&amp;LEN(C125)&amp;")",IF(L125="","JMBG sadrži nešto što nije cifra",IF(N125="","Nepostojeći datum rođenja",IF(VALUE(MID(C125,13,1))&lt;&gt;L125,"Pogrešna kontrolna cifra - treba "&amp;L125,"✓ ispravan")))))</f>
        <v/>
      </c>
      <c r="K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L125">
        <f>IF(K125="","",IF(11-MOD(K125,11)&gt;9,0,11-MOD(K125,11)))</f>
        <v/>
      </c>
      <c r="M125">
        <f>IFERROR(IF(LEN(C125)&lt;&gt;13,"",IF(VALUE(MID(C125,5,3))&gt;=800,1000,2000)+VALUE(MID(C125,5,3))),"")</f>
        <v/>
      </c>
      <c r="N125">
        <f>IFERROR(IF(M125="","",IF(AND(DAY(DATE(M125,VALUE(MID(C125,3,2)),VALUE(MID(C125,1,2))))=VALUE(MID(C125,1,2)),MONTH(DATE(M125,VALUE(MID(C125,3,2)),VALUE(MID(C125,1,2))))=VALUE(MID(C125,3,2))),DATE(M125,VALUE(MID(C125,3,2)),VALUE(MID(C125,1,2))),"")),"")</f>
        <v/>
      </c>
    </row>
    <row r="126">
      <c r="A126" s="2" t="n"/>
      <c r="B126" s="2" t="n"/>
      <c r="C126" s="3" t="n"/>
      <c r="D126" s="2" t="n"/>
      <c r="E126" s="4">
        <f>IF(A126="","",5)</f>
        <v/>
      </c>
      <c r="F126" s="2" t="n"/>
      <c r="G126" s="4" t="n"/>
      <c r="H126" s="2" t="n"/>
      <c r="I126" s="2" t="n"/>
      <c r="J126" s="2">
        <f>IF(C126="","",IF(LEN(C126)&lt;&gt;13,"Nema 13 cifara (ima "&amp;LEN(C126)&amp;")",IF(L126="","JMBG sadrži nešto što nije cifra",IF(N126="","Nepostojeći datum rođenja",IF(VALUE(MID(C126,13,1))&lt;&gt;L126,"Pogrešna kontrolna cifra - treba "&amp;L126,"✓ ispravan")))))</f>
        <v/>
      </c>
      <c r="K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L126">
        <f>IF(K126="","",IF(11-MOD(K126,11)&gt;9,0,11-MOD(K126,11)))</f>
        <v/>
      </c>
      <c r="M126">
        <f>IFERROR(IF(LEN(C126)&lt;&gt;13,"",IF(VALUE(MID(C126,5,3))&gt;=800,1000,2000)+VALUE(MID(C126,5,3))),"")</f>
        <v/>
      </c>
      <c r="N126">
        <f>IFERROR(IF(M126="","",IF(AND(DAY(DATE(M126,VALUE(MID(C126,3,2)),VALUE(MID(C126,1,2))))=VALUE(MID(C126,1,2)),MONTH(DATE(M126,VALUE(MID(C126,3,2)),VALUE(MID(C126,1,2))))=VALUE(MID(C126,3,2))),DATE(M126,VALUE(MID(C126,3,2)),VALUE(MID(C126,1,2))),"")),"")</f>
        <v/>
      </c>
    </row>
    <row r="127">
      <c r="A127" s="2" t="n"/>
      <c r="B127" s="2" t="n"/>
      <c r="C127" s="3" t="n"/>
      <c r="D127" s="2" t="n"/>
      <c r="E127" s="4">
        <f>IF(A127="","",5)</f>
        <v/>
      </c>
      <c r="F127" s="2" t="n"/>
      <c r="G127" s="4" t="n"/>
      <c r="H127" s="2" t="n"/>
      <c r="I127" s="2" t="n"/>
      <c r="J127" s="2">
        <f>IF(C127="","",IF(LEN(C127)&lt;&gt;13,"Nema 13 cifara (ima "&amp;LEN(C127)&amp;")",IF(L127="","JMBG sadrži nešto što nije cifra",IF(N127="","Nepostojeći datum rođenja",IF(VALUE(MID(C127,13,1))&lt;&gt;L127,"Pogrešna kontrolna cifra - treba "&amp;L127,"✓ ispravan")))))</f>
        <v/>
      </c>
      <c r="K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L127">
        <f>IF(K127="","",IF(11-MOD(K127,11)&gt;9,0,11-MOD(K127,11)))</f>
        <v/>
      </c>
      <c r="M127">
        <f>IFERROR(IF(LEN(C127)&lt;&gt;13,"",IF(VALUE(MID(C127,5,3))&gt;=800,1000,2000)+VALUE(MID(C127,5,3))),"")</f>
        <v/>
      </c>
      <c r="N127">
        <f>IFERROR(IF(M127="","",IF(AND(DAY(DATE(M127,VALUE(MID(C127,3,2)),VALUE(MID(C127,1,2))))=VALUE(MID(C127,1,2)),MONTH(DATE(M127,VALUE(MID(C127,3,2)),VALUE(MID(C127,1,2))))=VALUE(MID(C127,3,2))),DATE(M127,VALUE(MID(C127,3,2)),VALUE(MID(C127,1,2))),"")),"")</f>
        <v/>
      </c>
    </row>
    <row r="128">
      <c r="A128" s="2" t="n"/>
      <c r="B128" s="2" t="n"/>
      <c r="C128" s="3" t="n"/>
      <c r="D128" s="2" t="n"/>
      <c r="E128" s="4">
        <f>IF(A128="","",5)</f>
        <v/>
      </c>
      <c r="F128" s="2" t="n"/>
      <c r="G128" s="4" t="n"/>
      <c r="H128" s="2" t="n"/>
      <c r="I128" s="2" t="n"/>
      <c r="J128" s="2">
        <f>IF(C128="","",IF(LEN(C128)&lt;&gt;13,"Nema 13 cifara (ima "&amp;LEN(C128)&amp;")",IF(L128="","JMBG sadrži nešto što nije cifra",IF(N128="","Nepostojeći datum rođenja",IF(VALUE(MID(C128,13,1))&lt;&gt;L128,"Pogrešna kontrolna cifra - treba "&amp;L128,"✓ ispravan")))))</f>
        <v/>
      </c>
      <c r="K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L128">
        <f>IF(K128="","",IF(11-MOD(K128,11)&gt;9,0,11-MOD(K128,11)))</f>
        <v/>
      </c>
      <c r="M128">
        <f>IFERROR(IF(LEN(C128)&lt;&gt;13,"",IF(VALUE(MID(C128,5,3))&gt;=800,1000,2000)+VALUE(MID(C128,5,3))),"")</f>
        <v/>
      </c>
      <c r="N128">
        <f>IFERROR(IF(M128="","",IF(AND(DAY(DATE(M128,VALUE(MID(C128,3,2)),VALUE(MID(C128,1,2))))=VALUE(MID(C128,1,2)),MONTH(DATE(M128,VALUE(MID(C128,3,2)),VALUE(MID(C128,1,2))))=VALUE(MID(C128,3,2))),DATE(M128,VALUE(MID(C128,3,2)),VALUE(MID(C128,1,2))),"")),"")</f>
        <v/>
      </c>
    </row>
    <row r="129">
      <c r="A129" s="2" t="n"/>
      <c r="B129" s="2" t="n"/>
      <c r="C129" s="3" t="n"/>
      <c r="D129" s="2" t="n"/>
      <c r="E129" s="4">
        <f>IF(A129="","",5)</f>
        <v/>
      </c>
      <c r="F129" s="2" t="n"/>
      <c r="G129" s="4" t="n"/>
      <c r="H129" s="2" t="n"/>
      <c r="I129" s="2" t="n"/>
      <c r="J129" s="2">
        <f>IF(C129="","",IF(LEN(C129)&lt;&gt;13,"Nema 13 cifara (ima "&amp;LEN(C129)&amp;")",IF(L129="","JMBG sadrži nešto što nije cifra",IF(N129="","Nepostojeći datum rođenja",IF(VALUE(MID(C129,13,1))&lt;&gt;L129,"Pogrešna kontrolna cifra - treba "&amp;L129,"✓ ispravan")))))</f>
        <v/>
      </c>
      <c r="K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L129">
        <f>IF(K129="","",IF(11-MOD(K129,11)&gt;9,0,11-MOD(K129,11)))</f>
        <v/>
      </c>
      <c r="M129">
        <f>IFERROR(IF(LEN(C129)&lt;&gt;13,"",IF(VALUE(MID(C129,5,3))&gt;=800,1000,2000)+VALUE(MID(C129,5,3))),"")</f>
        <v/>
      </c>
      <c r="N129">
        <f>IFERROR(IF(M129="","",IF(AND(DAY(DATE(M129,VALUE(MID(C129,3,2)),VALUE(MID(C129,1,2))))=VALUE(MID(C129,1,2)),MONTH(DATE(M129,VALUE(MID(C129,3,2)),VALUE(MID(C129,1,2))))=VALUE(MID(C129,3,2))),DATE(M129,VALUE(MID(C129,3,2)),VALUE(MID(C129,1,2))),"")),"")</f>
        <v/>
      </c>
    </row>
    <row r="130">
      <c r="A130" s="2" t="n"/>
      <c r="B130" s="2" t="n"/>
      <c r="C130" s="3" t="n"/>
      <c r="D130" s="2" t="n"/>
      <c r="E130" s="4">
        <f>IF(A130="","",5)</f>
        <v/>
      </c>
      <c r="F130" s="2" t="n"/>
      <c r="G130" s="4" t="n"/>
      <c r="H130" s="2" t="n"/>
      <c r="I130" s="2" t="n"/>
      <c r="J130" s="2">
        <f>IF(C130="","",IF(LEN(C130)&lt;&gt;13,"Nema 13 cifara (ima "&amp;LEN(C130)&amp;")",IF(L130="","JMBG sadrži nešto što nije cifra",IF(N130="","Nepostojeći datum rođenja",IF(VALUE(MID(C130,13,1))&lt;&gt;L130,"Pogrešna kontrolna cifra - treba "&amp;L130,"✓ ispravan")))))</f>
        <v/>
      </c>
      <c r="K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L130">
        <f>IF(K130="","",IF(11-MOD(K130,11)&gt;9,0,11-MOD(K130,11)))</f>
        <v/>
      </c>
      <c r="M130">
        <f>IFERROR(IF(LEN(C130)&lt;&gt;13,"",IF(VALUE(MID(C130,5,3))&gt;=800,1000,2000)+VALUE(MID(C130,5,3))),"")</f>
        <v/>
      </c>
      <c r="N130">
        <f>IFERROR(IF(M130="","",IF(AND(DAY(DATE(M130,VALUE(MID(C130,3,2)),VALUE(MID(C130,1,2))))=VALUE(MID(C130,1,2)),MONTH(DATE(M130,VALUE(MID(C130,3,2)),VALUE(MID(C130,1,2))))=VALUE(MID(C130,3,2))),DATE(M130,VALUE(MID(C130,3,2)),VALUE(MID(C130,1,2))),"")),"")</f>
        <v/>
      </c>
    </row>
    <row r="131">
      <c r="A131" s="2" t="n"/>
      <c r="B131" s="2" t="n"/>
      <c r="C131" s="3" t="n"/>
      <c r="D131" s="2" t="n"/>
      <c r="E131" s="4">
        <f>IF(A131="","",5)</f>
        <v/>
      </c>
      <c r="F131" s="2" t="n"/>
      <c r="G131" s="4" t="n"/>
      <c r="H131" s="2" t="n"/>
      <c r="I131" s="2" t="n"/>
      <c r="J131" s="2">
        <f>IF(C131="","",IF(LEN(C131)&lt;&gt;13,"Nema 13 cifara (ima "&amp;LEN(C131)&amp;")",IF(L131="","JMBG sadrži nešto što nije cifra",IF(N131="","Nepostojeći datum rođenja",IF(VALUE(MID(C131,13,1))&lt;&gt;L131,"Pogrešna kontrolna cifra - treba "&amp;L131,"✓ ispravan")))))</f>
        <v/>
      </c>
      <c r="K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L131">
        <f>IF(K131="","",IF(11-MOD(K131,11)&gt;9,0,11-MOD(K131,11)))</f>
        <v/>
      </c>
      <c r="M131">
        <f>IFERROR(IF(LEN(C131)&lt;&gt;13,"",IF(VALUE(MID(C131,5,3))&gt;=800,1000,2000)+VALUE(MID(C131,5,3))),"")</f>
        <v/>
      </c>
      <c r="N131">
        <f>IFERROR(IF(M131="","",IF(AND(DAY(DATE(M131,VALUE(MID(C131,3,2)),VALUE(MID(C131,1,2))))=VALUE(MID(C131,1,2)),MONTH(DATE(M131,VALUE(MID(C131,3,2)),VALUE(MID(C131,1,2))))=VALUE(MID(C131,3,2))),DATE(M131,VALUE(MID(C131,3,2)),VALUE(MID(C131,1,2))),"")),"")</f>
        <v/>
      </c>
    </row>
    <row r="132">
      <c r="A132" s="2" t="n"/>
      <c r="B132" s="2" t="n"/>
      <c r="C132" s="3" t="n"/>
      <c r="D132" s="2" t="n"/>
      <c r="E132" s="4">
        <f>IF(A132="","",5)</f>
        <v/>
      </c>
      <c r="F132" s="2" t="n"/>
      <c r="G132" s="4" t="n"/>
      <c r="H132" s="2" t="n"/>
      <c r="I132" s="2" t="n"/>
      <c r="J132" s="2">
        <f>IF(C132="","",IF(LEN(C132)&lt;&gt;13,"Nema 13 cifara (ima "&amp;LEN(C132)&amp;")",IF(L132="","JMBG sadrži nešto što nije cifra",IF(N132="","Nepostojeći datum rođenja",IF(VALUE(MID(C132,13,1))&lt;&gt;L132,"Pogrešna kontrolna cifra - treba "&amp;L132,"✓ ispravan")))))</f>
        <v/>
      </c>
      <c r="K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L132">
        <f>IF(K132="","",IF(11-MOD(K132,11)&gt;9,0,11-MOD(K132,11)))</f>
        <v/>
      </c>
      <c r="M132">
        <f>IFERROR(IF(LEN(C132)&lt;&gt;13,"",IF(VALUE(MID(C132,5,3))&gt;=800,1000,2000)+VALUE(MID(C132,5,3))),"")</f>
        <v/>
      </c>
      <c r="N132">
        <f>IFERROR(IF(M132="","",IF(AND(DAY(DATE(M132,VALUE(MID(C132,3,2)),VALUE(MID(C132,1,2))))=VALUE(MID(C132,1,2)),MONTH(DATE(M132,VALUE(MID(C132,3,2)),VALUE(MID(C132,1,2))))=VALUE(MID(C132,3,2))),DATE(M132,VALUE(MID(C132,3,2)),VALUE(MID(C132,1,2))),"")),"")</f>
        <v/>
      </c>
    </row>
    <row r="133">
      <c r="A133" s="2" t="n"/>
      <c r="B133" s="2" t="n"/>
      <c r="C133" s="3" t="n"/>
      <c r="D133" s="2" t="n"/>
      <c r="E133" s="4">
        <f>IF(A133="","",5)</f>
        <v/>
      </c>
      <c r="F133" s="2" t="n"/>
      <c r="G133" s="4" t="n"/>
      <c r="H133" s="2" t="n"/>
      <c r="I133" s="2" t="n"/>
      <c r="J133" s="2">
        <f>IF(C133="","",IF(LEN(C133)&lt;&gt;13,"Nema 13 cifara (ima "&amp;LEN(C133)&amp;")",IF(L133="","JMBG sadrži nešto što nije cifra",IF(N133="","Nepostojeći datum rođenja",IF(VALUE(MID(C133,13,1))&lt;&gt;L133,"Pogrešna kontrolna cifra - treba "&amp;L133,"✓ ispravan")))))</f>
        <v/>
      </c>
      <c r="K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L133">
        <f>IF(K133="","",IF(11-MOD(K133,11)&gt;9,0,11-MOD(K133,11)))</f>
        <v/>
      </c>
      <c r="M133">
        <f>IFERROR(IF(LEN(C133)&lt;&gt;13,"",IF(VALUE(MID(C133,5,3))&gt;=800,1000,2000)+VALUE(MID(C133,5,3))),"")</f>
        <v/>
      </c>
      <c r="N133">
        <f>IFERROR(IF(M133="","",IF(AND(DAY(DATE(M133,VALUE(MID(C133,3,2)),VALUE(MID(C133,1,2))))=VALUE(MID(C133,1,2)),MONTH(DATE(M133,VALUE(MID(C133,3,2)),VALUE(MID(C133,1,2))))=VALUE(MID(C133,3,2))),DATE(M133,VALUE(MID(C133,3,2)),VALUE(MID(C133,1,2))),"")),"")</f>
        <v/>
      </c>
    </row>
    <row r="134">
      <c r="A134" s="2" t="n"/>
      <c r="B134" s="2" t="n"/>
      <c r="C134" s="3" t="n"/>
      <c r="D134" s="2" t="n"/>
      <c r="E134" s="4">
        <f>IF(A134="","",5)</f>
        <v/>
      </c>
      <c r="F134" s="2" t="n"/>
      <c r="G134" s="4" t="n"/>
      <c r="H134" s="2" t="n"/>
      <c r="I134" s="2" t="n"/>
      <c r="J134" s="2">
        <f>IF(C134="","",IF(LEN(C134)&lt;&gt;13,"Nema 13 cifara (ima "&amp;LEN(C134)&amp;")",IF(L134="","JMBG sadrži nešto što nije cifra",IF(N134="","Nepostojeći datum rođenja",IF(VALUE(MID(C134,13,1))&lt;&gt;L134,"Pogrešna kontrolna cifra - treba "&amp;L134,"✓ ispravan")))))</f>
        <v/>
      </c>
      <c r="K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L134">
        <f>IF(K134="","",IF(11-MOD(K134,11)&gt;9,0,11-MOD(K134,11)))</f>
        <v/>
      </c>
      <c r="M134">
        <f>IFERROR(IF(LEN(C134)&lt;&gt;13,"",IF(VALUE(MID(C134,5,3))&gt;=800,1000,2000)+VALUE(MID(C134,5,3))),"")</f>
        <v/>
      </c>
      <c r="N134">
        <f>IFERROR(IF(M134="","",IF(AND(DAY(DATE(M134,VALUE(MID(C134,3,2)),VALUE(MID(C134,1,2))))=VALUE(MID(C134,1,2)),MONTH(DATE(M134,VALUE(MID(C134,3,2)),VALUE(MID(C134,1,2))))=VALUE(MID(C134,3,2))),DATE(M134,VALUE(MID(C134,3,2)),VALUE(MID(C134,1,2))),"")),"")</f>
        <v/>
      </c>
    </row>
    <row r="135">
      <c r="A135" s="2" t="n"/>
      <c r="B135" s="2" t="n"/>
      <c r="C135" s="3" t="n"/>
      <c r="D135" s="2" t="n"/>
      <c r="E135" s="4">
        <f>IF(A135="","",5)</f>
        <v/>
      </c>
      <c r="F135" s="2" t="n"/>
      <c r="G135" s="4" t="n"/>
      <c r="H135" s="2" t="n"/>
      <c r="I135" s="2" t="n"/>
      <c r="J135" s="2">
        <f>IF(C135="","",IF(LEN(C135)&lt;&gt;13,"Nema 13 cifara (ima "&amp;LEN(C135)&amp;")",IF(L135="","JMBG sadrži nešto što nije cifra",IF(N135="","Nepostojeći datum rođenja",IF(VALUE(MID(C135,13,1))&lt;&gt;L135,"Pogrešna kontrolna cifra - treba "&amp;L135,"✓ ispravan")))))</f>
        <v/>
      </c>
      <c r="K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L135">
        <f>IF(K135="","",IF(11-MOD(K135,11)&gt;9,0,11-MOD(K135,11)))</f>
        <v/>
      </c>
      <c r="M135">
        <f>IFERROR(IF(LEN(C135)&lt;&gt;13,"",IF(VALUE(MID(C135,5,3))&gt;=800,1000,2000)+VALUE(MID(C135,5,3))),"")</f>
        <v/>
      </c>
      <c r="N135">
        <f>IFERROR(IF(M135="","",IF(AND(DAY(DATE(M135,VALUE(MID(C135,3,2)),VALUE(MID(C135,1,2))))=VALUE(MID(C135,1,2)),MONTH(DATE(M135,VALUE(MID(C135,3,2)),VALUE(MID(C135,1,2))))=VALUE(MID(C135,3,2))),DATE(M135,VALUE(MID(C135,3,2)),VALUE(MID(C135,1,2))),"")),"")</f>
        <v/>
      </c>
    </row>
    <row r="136">
      <c r="A136" s="2" t="n"/>
      <c r="B136" s="2" t="n"/>
      <c r="C136" s="3" t="n"/>
      <c r="D136" s="2" t="n"/>
      <c r="E136" s="4">
        <f>IF(A136="","",5)</f>
        <v/>
      </c>
      <c r="F136" s="2" t="n"/>
      <c r="G136" s="4" t="n"/>
      <c r="H136" s="2" t="n"/>
      <c r="I136" s="2" t="n"/>
      <c r="J136" s="2">
        <f>IF(C136="","",IF(LEN(C136)&lt;&gt;13,"Nema 13 cifara (ima "&amp;LEN(C136)&amp;")",IF(L136="","JMBG sadrži nešto što nije cifra",IF(N136="","Nepostojeći datum rođenja",IF(VALUE(MID(C136,13,1))&lt;&gt;L136,"Pogrešna kontrolna cifra - treba "&amp;L136,"✓ ispravan")))))</f>
        <v/>
      </c>
      <c r="K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L136">
        <f>IF(K136="","",IF(11-MOD(K136,11)&gt;9,0,11-MOD(K136,11)))</f>
        <v/>
      </c>
      <c r="M136">
        <f>IFERROR(IF(LEN(C136)&lt;&gt;13,"",IF(VALUE(MID(C136,5,3))&gt;=800,1000,2000)+VALUE(MID(C136,5,3))),"")</f>
        <v/>
      </c>
      <c r="N136">
        <f>IFERROR(IF(M136="","",IF(AND(DAY(DATE(M136,VALUE(MID(C136,3,2)),VALUE(MID(C136,1,2))))=VALUE(MID(C136,1,2)),MONTH(DATE(M136,VALUE(MID(C136,3,2)),VALUE(MID(C136,1,2))))=VALUE(MID(C136,3,2))),DATE(M136,VALUE(MID(C136,3,2)),VALUE(MID(C136,1,2))),"")),"")</f>
        <v/>
      </c>
    </row>
    <row r="137">
      <c r="A137" s="2" t="n"/>
      <c r="B137" s="2" t="n"/>
      <c r="C137" s="3" t="n"/>
      <c r="D137" s="2" t="n"/>
      <c r="E137" s="4">
        <f>IF(A137="","",5)</f>
        <v/>
      </c>
      <c r="F137" s="2" t="n"/>
      <c r="G137" s="4" t="n"/>
      <c r="H137" s="2" t="n"/>
      <c r="I137" s="2" t="n"/>
      <c r="J137" s="2">
        <f>IF(C137="","",IF(LEN(C137)&lt;&gt;13,"Nema 13 cifara (ima "&amp;LEN(C137)&amp;")",IF(L137="","JMBG sadrži nešto što nije cifra",IF(N137="","Nepostojeći datum rođenja",IF(VALUE(MID(C137,13,1))&lt;&gt;L137,"Pogrešna kontrolna cifra - treba "&amp;L137,"✓ ispravan")))))</f>
        <v/>
      </c>
      <c r="K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L137">
        <f>IF(K137="","",IF(11-MOD(K137,11)&gt;9,0,11-MOD(K137,11)))</f>
        <v/>
      </c>
      <c r="M137">
        <f>IFERROR(IF(LEN(C137)&lt;&gt;13,"",IF(VALUE(MID(C137,5,3))&gt;=800,1000,2000)+VALUE(MID(C137,5,3))),"")</f>
        <v/>
      </c>
      <c r="N137">
        <f>IFERROR(IF(M137="","",IF(AND(DAY(DATE(M137,VALUE(MID(C137,3,2)),VALUE(MID(C137,1,2))))=VALUE(MID(C137,1,2)),MONTH(DATE(M137,VALUE(MID(C137,3,2)),VALUE(MID(C137,1,2))))=VALUE(MID(C137,3,2))),DATE(M137,VALUE(MID(C137,3,2)),VALUE(MID(C137,1,2))),"")),"")</f>
        <v/>
      </c>
    </row>
    <row r="138">
      <c r="A138" s="2" t="n"/>
      <c r="B138" s="2" t="n"/>
      <c r="C138" s="3" t="n"/>
      <c r="D138" s="2" t="n"/>
      <c r="E138" s="4">
        <f>IF(A138="","",5)</f>
        <v/>
      </c>
      <c r="F138" s="2" t="n"/>
      <c r="G138" s="4" t="n"/>
      <c r="H138" s="2" t="n"/>
      <c r="I138" s="2" t="n"/>
      <c r="J138" s="2">
        <f>IF(C138="","",IF(LEN(C138)&lt;&gt;13,"Nema 13 cifara (ima "&amp;LEN(C138)&amp;")",IF(L138="","JMBG sadrži nešto što nije cifra",IF(N138="","Nepostojeći datum rođenja",IF(VALUE(MID(C138,13,1))&lt;&gt;L138,"Pogrešna kontrolna cifra - treba "&amp;L138,"✓ ispravan")))))</f>
        <v/>
      </c>
      <c r="K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L138">
        <f>IF(K138="","",IF(11-MOD(K138,11)&gt;9,0,11-MOD(K138,11)))</f>
        <v/>
      </c>
      <c r="M138">
        <f>IFERROR(IF(LEN(C138)&lt;&gt;13,"",IF(VALUE(MID(C138,5,3))&gt;=800,1000,2000)+VALUE(MID(C138,5,3))),"")</f>
        <v/>
      </c>
      <c r="N138">
        <f>IFERROR(IF(M138="","",IF(AND(DAY(DATE(M138,VALUE(MID(C138,3,2)),VALUE(MID(C138,1,2))))=VALUE(MID(C138,1,2)),MONTH(DATE(M138,VALUE(MID(C138,3,2)),VALUE(MID(C138,1,2))))=VALUE(MID(C138,3,2))),DATE(M138,VALUE(MID(C138,3,2)),VALUE(MID(C138,1,2))),"")),"")</f>
        <v/>
      </c>
    </row>
    <row r="139">
      <c r="A139" s="2" t="n"/>
      <c r="B139" s="2" t="n"/>
      <c r="C139" s="3" t="n"/>
      <c r="D139" s="2" t="n"/>
      <c r="E139" s="4">
        <f>IF(A139="","",5)</f>
        <v/>
      </c>
      <c r="F139" s="2" t="n"/>
      <c r="G139" s="4" t="n"/>
      <c r="H139" s="2" t="n"/>
      <c r="I139" s="2" t="n"/>
      <c r="J139" s="2">
        <f>IF(C139="","",IF(LEN(C139)&lt;&gt;13,"Nema 13 cifara (ima "&amp;LEN(C139)&amp;")",IF(L139="","JMBG sadrži nešto što nije cifra",IF(N139="","Nepostojeći datum rođenja",IF(VALUE(MID(C139,13,1))&lt;&gt;L139,"Pogrešna kontrolna cifra - treba "&amp;L139,"✓ ispravan")))))</f>
        <v/>
      </c>
      <c r="K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L139">
        <f>IF(K139="","",IF(11-MOD(K139,11)&gt;9,0,11-MOD(K139,11)))</f>
        <v/>
      </c>
      <c r="M139">
        <f>IFERROR(IF(LEN(C139)&lt;&gt;13,"",IF(VALUE(MID(C139,5,3))&gt;=800,1000,2000)+VALUE(MID(C139,5,3))),"")</f>
        <v/>
      </c>
      <c r="N139">
        <f>IFERROR(IF(M139="","",IF(AND(DAY(DATE(M139,VALUE(MID(C139,3,2)),VALUE(MID(C139,1,2))))=VALUE(MID(C139,1,2)),MONTH(DATE(M139,VALUE(MID(C139,3,2)),VALUE(MID(C139,1,2))))=VALUE(MID(C139,3,2))),DATE(M139,VALUE(MID(C139,3,2)),VALUE(MID(C139,1,2))),"")),"")</f>
        <v/>
      </c>
    </row>
    <row r="140">
      <c r="A140" s="2" t="n"/>
      <c r="B140" s="2" t="n"/>
      <c r="C140" s="3" t="n"/>
      <c r="D140" s="2" t="n"/>
      <c r="E140" s="4">
        <f>IF(A140="","",5)</f>
        <v/>
      </c>
      <c r="F140" s="2" t="n"/>
      <c r="G140" s="4" t="n"/>
      <c r="H140" s="2" t="n"/>
      <c r="I140" s="2" t="n"/>
      <c r="J140" s="2">
        <f>IF(C140="","",IF(LEN(C140)&lt;&gt;13,"Nema 13 cifara (ima "&amp;LEN(C140)&amp;")",IF(L140="","JMBG sadrži nešto što nije cifra",IF(N140="","Nepostojeći datum rođenja",IF(VALUE(MID(C140,13,1))&lt;&gt;L140,"Pogrešna kontrolna cifra - treba "&amp;L140,"✓ ispravan")))))</f>
        <v/>
      </c>
      <c r="K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L140">
        <f>IF(K140="","",IF(11-MOD(K140,11)&gt;9,0,11-MOD(K140,11)))</f>
        <v/>
      </c>
      <c r="M140">
        <f>IFERROR(IF(LEN(C140)&lt;&gt;13,"",IF(VALUE(MID(C140,5,3))&gt;=800,1000,2000)+VALUE(MID(C140,5,3))),"")</f>
        <v/>
      </c>
      <c r="N140">
        <f>IFERROR(IF(M140="","",IF(AND(DAY(DATE(M140,VALUE(MID(C140,3,2)),VALUE(MID(C140,1,2))))=VALUE(MID(C140,1,2)),MONTH(DATE(M140,VALUE(MID(C140,3,2)),VALUE(MID(C140,1,2))))=VALUE(MID(C140,3,2))),DATE(M140,VALUE(MID(C140,3,2)),VALUE(MID(C140,1,2))),"")),"")</f>
        <v/>
      </c>
    </row>
    <row r="141">
      <c r="A141" s="2" t="n"/>
      <c r="B141" s="2" t="n"/>
      <c r="C141" s="3" t="n"/>
      <c r="D141" s="2" t="n"/>
      <c r="E141" s="4">
        <f>IF(A141="","",5)</f>
        <v/>
      </c>
      <c r="F141" s="2" t="n"/>
      <c r="G141" s="4" t="n"/>
      <c r="H141" s="2" t="n"/>
      <c r="I141" s="2" t="n"/>
      <c r="J141" s="2">
        <f>IF(C141="","",IF(LEN(C141)&lt;&gt;13,"Nema 13 cifara (ima "&amp;LEN(C141)&amp;")",IF(L141="","JMBG sadrži nešto što nije cifra",IF(N141="","Nepostojeći datum rođenja",IF(VALUE(MID(C141,13,1))&lt;&gt;L141,"Pogrešna kontrolna cifra - treba "&amp;L141,"✓ ispravan")))))</f>
        <v/>
      </c>
      <c r="K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L141">
        <f>IF(K141="","",IF(11-MOD(K141,11)&gt;9,0,11-MOD(K141,11)))</f>
        <v/>
      </c>
      <c r="M141">
        <f>IFERROR(IF(LEN(C141)&lt;&gt;13,"",IF(VALUE(MID(C141,5,3))&gt;=800,1000,2000)+VALUE(MID(C141,5,3))),"")</f>
        <v/>
      </c>
      <c r="N141">
        <f>IFERROR(IF(M141="","",IF(AND(DAY(DATE(M141,VALUE(MID(C141,3,2)),VALUE(MID(C141,1,2))))=VALUE(MID(C141,1,2)),MONTH(DATE(M141,VALUE(MID(C141,3,2)),VALUE(MID(C141,1,2))))=VALUE(MID(C141,3,2))),DATE(M141,VALUE(MID(C141,3,2)),VALUE(MID(C141,1,2))),"")),"")</f>
        <v/>
      </c>
    </row>
    <row r="142">
      <c r="A142" s="2" t="n"/>
      <c r="B142" s="2" t="n"/>
      <c r="C142" s="3" t="n"/>
      <c r="D142" s="2" t="n"/>
      <c r="E142" s="4">
        <f>IF(A142="","",5)</f>
        <v/>
      </c>
      <c r="F142" s="2" t="n"/>
      <c r="G142" s="4" t="n"/>
      <c r="H142" s="2" t="n"/>
      <c r="I142" s="2" t="n"/>
      <c r="J142" s="2">
        <f>IF(C142="","",IF(LEN(C142)&lt;&gt;13,"Nema 13 cifara (ima "&amp;LEN(C142)&amp;")",IF(L142="","JMBG sadrži nešto što nije cifra",IF(N142="","Nepostojeći datum rođenja",IF(VALUE(MID(C142,13,1))&lt;&gt;L142,"Pogrešna kontrolna cifra - treba "&amp;L142,"✓ ispravan")))))</f>
        <v/>
      </c>
      <c r="K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L142">
        <f>IF(K142="","",IF(11-MOD(K142,11)&gt;9,0,11-MOD(K142,11)))</f>
        <v/>
      </c>
      <c r="M142">
        <f>IFERROR(IF(LEN(C142)&lt;&gt;13,"",IF(VALUE(MID(C142,5,3))&gt;=800,1000,2000)+VALUE(MID(C142,5,3))),"")</f>
        <v/>
      </c>
      <c r="N142">
        <f>IFERROR(IF(M142="","",IF(AND(DAY(DATE(M142,VALUE(MID(C142,3,2)),VALUE(MID(C142,1,2))))=VALUE(MID(C142,1,2)),MONTH(DATE(M142,VALUE(MID(C142,3,2)),VALUE(MID(C142,1,2))))=VALUE(MID(C142,3,2))),DATE(M142,VALUE(MID(C142,3,2)),VALUE(MID(C142,1,2))),"")),"")</f>
        <v/>
      </c>
    </row>
    <row r="143">
      <c r="A143" s="2" t="n"/>
      <c r="B143" s="2" t="n"/>
      <c r="C143" s="3" t="n"/>
      <c r="D143" s="2" t="n"/>
      <c r="E143" s="4">
        <f>IF(A143="","",5)</f>
        <v/>
      </c>
      <c r="F143" s="2" t="n"/>
      <c r="G143" s="4" t="n"/>
      <c r="H143" s="2" t="n"/>
      <c r="I143" s="2" t="n"/>
      <c r="J143" s="2">
        <f>IF(C143="","",IF(LEN(C143)&lt;&gt;13,"Nema 13 cifara (ima "&amp;LEN(C143)&amp;")",IF(L143="","JMBG sadrži nešto što nije cifra",IF(N143="","Nepostojeći datum rođenja",IF(VALUE(MID(C143,13,1))&lt;&gt;L143,"Pogrešna kontrolna cifra - treba "&amp;L143,"✓ ispravan")))))</f>
        <v/>
      </c>
      <c r="K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L143">
        <f>IF(K143="","",IF(11-MOD(K143,11)&gt;9,0,11-MOD(K143,11)))</f>
        <v/>
      </c>
      <c r="M143">
        <f>IFERROR(IF(LEN(C143)&lt;&gt;13,"",IF(VALUE(MID(C143,5,3))&gt;=800,1000,2000)+VALUE(MID(C143,5,3))),"")</f>
        <v/>
      </c>
      <c r="N143">
        <f>IFERROR(IF(M143="","",IF(AND(DAY(DATE(M143,VALUE(MID(C143,3,2)),VALUE(MID(C143,1,2))))=VALUE(MID(C143,1,2)),MONTH(DATE(M143,VALUE(MID(C143,3,2)),VALUE(MID(C143,1,2))))=VALUE(MID(C143,3,2))),DATE(M143,VALUE(MID(C143,3,2)),VALUE(MID(C143,1,2))),"")),"")</f>
        <v/>
      </c>
    </row>
    <row r="144">
      <c r="A144" s="2" t="n"/>
      <c r="B144" s="2" t="n"/>
      <c r="C144" s="3" t="n"/>
      <c r="D144" s="2" t="n"/>
      <c r="E144" s="4">
        <f>IF(A144="","",5)</f>
        <v/>
      </c>
      <c r="F144" s="2" t="n"/>
      <c r="G144" s="4" t="n"/>
      <c r="H144" s="2" t="n"/>
      <c r="I144" s="2" t="n"/>
      <c r="J144" s="2">
        <f>IF(C144="","",IF(LEN(C144)&lt;&gt;13,"Nema 13 cifara (ima "&amp;LEN(C144)&amp;")",IF(L144="","JMBG sadrži nešto što nije cifra",IF(N144="","Nepostojeći datum rođenja",IF(VALUE(MID(C144,13,1))&lt;&gt;L144,"Pogrešna kontrolna cifra - treba "&amp;L144,"✓ ispravan")))))</f>
        <v/>
      </c>
      <c r="K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L144">
        <f>IF(K144="","",IF(11-MOD(K144,11)&gt;9,0,11-MOD(K144,11)))</f>
        <v/>
      </c>
      <c r="M144">
        <f>IFERROR(IF(LEN(C144)&lt;&gt;13,"",IF(VALUE(MID(C144,5,3))&gt;=800,1000,2000)+VALUE(MID(C144,5,3))),"")</f>
        <v/>
      </c>
      <c r="N144">
        <f>IFERROR(IF(M144="","",IF(AND(DAY(DATE(M144,VALUE(MID(C144,3,2)),VALUE(MID(C144,1,2))))=VALUE(MID(C144,1,2)),MONTH(DATE(M144,VALUE(MID(C144,3,2)),VALUE(MID(C144,1,2))))=VALUE(MID(C144,3,2))),DATE(M144,VALUE(MID(C144,3,2)),VALUE(MID(C144,1,2))),"")),"")</f>
        <v/>
      </c>
    </row>
    <row r="145">
      <c r="A145" s="2" t="n"/>
      <c r="B145" s="2" t="n"/>
      <c r="C145" s="3" t="n"/>
      <c r="D145" s="2" t="n"/>
      <c r="E145" s="4">
        <f>IF(A145="","",5)</f>
        <v/>
      </c>
      <c r="F145" s="2" t="n"/>
      <c r="G145" s="4" t="n"/>
      <c r="H145" s="2" t="n"/>
      <c r="I145" s="2" t="n"/>
      <c r="J145" s="2">
        <f>IF(C145="","",IF(LEN(C145)&lt;&gt;13,"Nema 13 cifara (ima "&amp;LEN(C145)&amp;")",IF(L145="","JMBG sadrži nešto što nije cifra",IF(N145="","Nepostojeći datum rođenja",IF(VALUE(MID(C145,13,1))&lt;&gt;L145,"Pogrešna kontrolna cifra - treba "&amp;L145,"✓ ispravan")))))</f>
        <v/>
      </c>
      <c r="K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L145">
        <f>IF(K145="","",IF(11-MOD(K145,11)&gt;9,0,11-MOD(K145,11)))</f>
        <v/>
      </c>
      <c r="M145">
        <f>IFERROR(IF(LEN(C145)&lt;&gt;13,"",IF(VALUE(MID(C145,5,3))&gt;=800,1000,2000)+VALUE(MID(C145,5,3))),"")</f>
        <v/>
      </c>
      <c r="N145">
        <f>IFERROR(IF(M145="","",IF(AND(DAY(DATE(M145,VALUE(MID(C145,3,2)),VALUE(MID(C145,1,2))))=VALUE(MID(C145,1,2)),MONTH(DATE(M145,VALUE(MID(C145,3,2)),VALUE(MID(C145,1,2))))=VALUE(MID(C145,3,2))),DATE(M145,VALUE(MID(C145,3,2)),VALUE(MID(C145,1,2))),"")),"")</f>
        <v/>
      </c>
    </row>
    <row r="146">
      <c r="A146" s="2" t="n"/>
      <c r="B146" s="2" t="n"/>
      <c r="C146" s="3" t="n"/>
      <c r="D146" s="2" t="n"/>
      <c r="E146" s="4">
        <f>IF(A146="","",5)</f>
        <v/>
      </c>
      <c r="F146" s="2" t="n"/>
      <c r="G146" s="4" t="n"/>
      <c r="H146" s="2" t="n"/>
      <c r="I146" s="2" t="n"/>
      <c r="J146" s="2">
        <f>IF(C146="","",IF(LEN(C146)&lt;&gt;13,"Nema 13 cifara (ima "&amp;LEN(C146)&amp;")",IF(L146="","JMBG sadrži nešto što nije cifra",IF(N146="","Nepostojeći datum rođenja",IF(VALUE(MID(C146,13,1))&lt;&gt;L146,"Pogrešna kontrolna cifra - treba "&amp;L146,"✓ ispravan")))))</f>
        <v/>
      </c>
      <c r="K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L146">
        <f>IF(K146="","",IF(11-MOD(K146,11)&gt;9,0,11-MOD(K146,11)))</f>
        <v/>
      </c>
      <c r="M146">
        <f>IFERROR(IF(LEN(C146)&lt;&gt;13,"",IF(VALUE(MID(C146,5,3))&gt;=800,1000,2000)+VALUE(MID(C146,5,3))),"")</f>
        <v/>
      </c>
      <c r="N146">
        <f>IFERROR(IF(M146="","",IF(AND(DAY(DATE(M146,VALUE(MID(C146,3,2)),VALUE(MID(C146,1,2))))=VALUE(MID(C146,1,2)),MONTH(DATE(M146,VALUE(MID(C146,3,2)),VALUE(MID(C146,1,2))))=VALUE(MID(C146,3,2))),DATE(M146,VALUE(MID(C146,3,2)),VALUE(MID(C146,1,2))),"")),"")</f>
        <v/>
      </c>
    </row>
    <row r="147">
      <c r="A147" s="2" t="n"/>
      <c r="B147" s="2" t="n"/>
      <c r="C147" s="3" t="n"/>
      <c r="D147" s="2" t="n"/>
      <c r="E147" s="4">
        <f>IF(A147="","",5)</f>
        <v/>
      </c>
      <c r="F147" s="2" t="n"/>
      <c r="G147" s="4" t="n"/>
      <c r="H147" s="2" t="n"/>
      <c r="I147" s="2" t="n"/>
      <c r="J147" s="2">
        <f>IF(C147="","",IF(LEN(C147)&lt;&gt;13,"Nema 13 cifara (ima "&amp;LEN(C147)&amp;")",IF(L147="","JMBG sadrži nešto što nije cifra",IF(N147="","Nepostojeći datum rođenja",IF(VALUE(MID(C147,13,1))&lt;&gt;L147,"Pogrešna kontrolna cifra - treba "&amp;L147,"✓ ispravan")))))</f>
        <v/>
      </c>
      <c r="K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L147">
        <f>IF(K147="","",IF(11-MOD(K147,11)&gt;9,0,11-MOD(K147,11)))</f>
        <v/>
      </c>
      <c r="M147">
        <f>IFERROR(IF(LEN(C147)&lt;&gt;13,"",IF(VALUE(MID(C147,5,3))&gt;=800,1000,2000)+VALUE(MID(C147,5,3))),"")</f>
        <v/>
      </c>
      <c r="N147">
        <f>IFERROR(IF(M147="","",IF(AND(DAY(DATE(M147,VALUE(MID(C147,3,2)),VALUE(MID(C147,1,2))))=VALUE(MID(C147,1,2)),MONTH(DATE(M147,VALUE(MID(C147,3,2)),VALUE(MID(C147,1,2))))=VALUE(MID(C147,3,2))),DATE(M147,VALUE(MID(C147,3,2)),VALUE(MID(C147,1,2))),"")),"")</f>
        <v/>
      </c>
    </row>
    <row r="148">
      <c r="A148" s="2" t="n"/>
      <c r="B148" s="2" t="n"/>
      <c r="C148" s="3" t="n"/>
      <c r="D148" s="2" t="n"/>
      <c r="E148" s="4">
        <f>IF(A148="","",5)</f>
        <v/>
      </c>
      <c r="F148" s="2" t="n"/>
      <c r="G148" s="4" t="n"/>
      <c r="H148" s="2" t="n"/>
      <c r="I148" s="2" t="n"/>
      <c r="J148" s="2">
        <f>IF(C148="","",IF(LEN(C148)&lt;&gt;13,"Nema 13 cifara (ima "&amp;LEN(C148)&amp;")",IF(L148="","JMBG sadrži nešto što nije cifra",IF(N148="","Nepostojeći datum rođenja",IF(VALUE(MID(C148,13,1))&lt;&gt;L148,"Pogrešna kontrolna cifra - treba "&amp;L148,"✓ ispravan")))))</f>
        <v/>
      </c>
      <c r="K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L148">
        <f>IF(K148="","",IF(11-MOD(K148,11)&gt;9,0,11-MOD(K148,11)))</f>
        <v/>
      </c>
      <c r="M148">
        <f>IFERROR(IF(LEN(C148)&lt;&gt;13,"",IF(VALUE(MID(C148,5,3))&gt;=800,1000,2000)+VALUE(MID(C148,5,3))),"")</f>
        <v/>
      </c>
      <c r="N148">
        <f>IFERROR(IF(M148="","",IF(AND(DAY(DATE(M148,VALUE(MID(C148,3,2)),VALUE(MID(C148,1,2))))=VALUE(MID(C148,1,2)),MONTH(DATE(M148,VALUE(MID(C148,3,2)),VALUE(MID(C148,1,2))))=VALUE(MID(C148,3,2))),DATE(M148,VALUE(MID(C148,3,2)),VALUE(MID(C148,1,2))),"")),"")</f>
        <v/>
      </c>
    </row>
    <row r="149">
      <c r="A149" s="2" t="n"/>
      <c r="B149" s="2" t="n"/>
      <c r="C149" s="3" t="n"/>
      <c r="D149" s="2" t="n"/>
      <c r="E149" s="4">
        <f>IF(A149="","",5)</f>
        <v/>
      </c>
      <c r="F149" s="2" t="n"/>
      <c r="G149" s="4" t="n"/>
      <c r="H149" s="2" t="n"/>
      <c r="I149" s="2" t="n"/>
      <c r="J149" s="2">
        <f>IF(C149="","",IF(LEN(C149)&lt;&gt;13,"Nema 13 cifara (ima "&amp;LEN(C149)&amp;")",IF(L149="","JMBG sadrži nešto što nije cifra",IF(N149="","Nepostojeći datum rođenja",IF(VALUE(MID(C149,13,1))&lt;&gt;L149,"Pogrešna kontrolna cifra - treba "&amp;L149,"✓ ispravan")))))</f>
        <v/>
      </c>
      <c r="K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L149">
        <f>IF(K149="","",IF(11-MOD(K149,11)&gt;9,0,11-MOD(K149,11)))</f>
        <v/>
      </c>
      <c r="M149">
        <f>IFERROR(IF(LEN(C149)&lt;&gt;13,"",IF(VALUE(MID(C149,5,3))&gt;=800,1000,2000)+VALUE(MID(C149,5,3))),"")</f>
        <v/>
      </c>
      <c r="N149">
        <f>IFERROR(IF(M149="","",IF(AND(DAY(DATE(M149,VALUE(MID(C149,3,2)),VALUE(MID(C149,1,2))))=VALUE(MID(C149,1,2)),MONTH(DATE(M149,VALUE(MID(C149,3,2)),VALUE(MID(C149,1,2))))=VALUE(MID(C149,3,2))),DATE(M149,VALUE(MID(C149,3,2)),VALUE(MID(C149,1,2))),"")),"")</f>
        <v/>
      </c>
    </row>
    <row r="150">
      <c r="A150" s="2" t="n"/>
      <c r="B150" s="2" t="n"/>
      <c r="C150" s="3" t="n"/>
      <c r="D150" s="2" t="n"/>
      <c r="E150" s="4">
        <f>IF(A150="","",5)</f>
        <v/>
      </c>
      <c r="F150" s="2" t="n"/>
      <c r="G150" s="4" t="n"/>
      <c r="H150" s="2" t="n"/>
      <c r="I150" s="2" t="n"/>
      <c r="J150" s="2">
        <f>IF(C150="","",IF(LEN(C150)&lt;&gt;13,"Nema 13 cifara (ima "&amp;LEN(C150)&amp;")",IF(L150="","JMBG sadrži nešto što nije cifra",IF(N150="","Nepostojeći datum rođenja",IF(VALUE(MID(C150,13,1))&lt;&gt;L150,"Pogrešna kontrolna cifra - treba "&amp;L150,"✓ ispravan")))))</f>
        <v/>
      </c>
      <c r="K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L150">
        <f>IF(K150="","",IF(11-MOD(K150,11)&gt;9,0,11-MOD(K150,11)))</f>
        <v/>
      </c>
      <c r="M150">
        <f>IFERROR(IF(LEN(C150)&lt;&gt;13,"",IF(VALUE(MID(C150,5,3))&gt;=800,1000,2000)+VALUE(MID(C150,5,3))),"")</f>
        <v/>
      </c>
      <c r="N150">
        <f>IFERROR(IF(M150="","",IF(AND(DAY(DATE(M150,VALUE(MID(C150,3,2)),VALUE(MID(C150,1,2))))=VALUE(MID(C150,1,2)),MONTH(DATE(M150,VALUE(MID(C150,3,2)),VALUE(MID(C150,1,2))))=VALUE(MID(C150,3,2))),DATE(M150,VALUE(MID(C150,3,2)),VALUE(MID(C150,1,2))),"")),"")</f>
        <v/>
      </c>
    </row>
    <row r="151">
      <c r="A151" s="2" t="n"/>
      <c r="B151" s="2" t="n"/>
      <c r="C151" s="3" t="n"/>
      <c r="D151" s="2" t="n"/>
      <c r="E151" s="4">
        <f>IF(A151="","",5)</f>
        <v/>
      </c>
      <c r="F151" s="2" t="n"/>
      <c r="G151" s="4" t="n"/>
      <c r="H151" s="2" t="n"/>
      <c r="I151" s="2" t="n"/>
      <c r="J151" s="2">
        <f>IF(C151="","",IF(LEN(C151)&lt;&gt;13,"Nema 13 cifara (ima "&amp;LEN(C151)&amp;")",IF(L151="","JMBG sadrži nešto što nije cifra",IF(N151="","Nepostojeći datum rođenja",IF(VALUE(MID(C151,13,1))&lt;&gt;L151,"Pogrešna kontrolna cifra - treba "&amp;L151,"✓ ispravan")))))</f>
        <v/>
      </c>
      <c r="K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L151">
        <f>IF(K151="","",IF(11-MOD(K151,11)&gt;9,0,11-MOD(K151,11)))</f>
        <v/>
      </c>
      <c r="M151">
        <f>IFERROR(IF(LEN(C151)&lt;&gt;13,"",IF(VALUE(MID(C151,5,3))&gt;=800,1000,2000)+VALUE(MID(C151,5,3))),"")</f>
        <v/>
      </c>
      <c r="N151">
        <f>IFERROR(IF(M151="","",IF(AND(DAY(DATE(M151,VALUE(MID(C151,3,2)),VALUE(MID(C151,1,2))))=VALUE(MID(C151,1,2)),MONTH(DATE(M151,VALUE(MID(C151,3,2)),VALUE(MID(C151,1,2))))=VALUE(MID(C151,3,2))),DATE(M151,VALUE(MID(C151,3,2)),VALUE(MID(C151,1,2))),"")),"")</f>
        <v/>
      </c>
    </row>
    <row r="152">
      <c r="A152" s="2" t="n"/>
      <c r="B152" s="2" t="n"/>
      <c r="C152" s="3" t="n"/>
      <c r="D152" s="2" t="n"/>
      <c r="E152" s="4">
        <f>IF(A152="","",5)</f>
        <v/>
      </c>
      <c r="F152" s="2" t="n"/>
      <c r="G152" s="4" t="n"/>
      <c r="H152" s="2" t="n"/>
      <c r="I152" s="2" t="n"/>
      <c r="J152" s="2">
        <f>IF(C152="","",IF(LEN(C152)&lt;&gt;13,"Nema 13 cifara (ima "&amp;LEN(C152)&amp;")",IF(L152="","JMBG sadrži nešto što nije cifra",IF(N152="","Nepostojeći datum rođenja",IF(VALUE(MID(C152,13,1))&lt;&gt;L152,"Pogrešna kontrolna cifra - treba "&amp;L152,"✓ ispravan")))))</f>
        <v/>
      </c>
      <c r="K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L152">
        <f>IF(K152="","",IF(11-MOD(K152,11)&gt;9,0,11-MOD(K152,11)))</f>
        <v/>
      </c>
      <c r="M152">
        <f>IFERROR(IF(LEN(C152)&lt;&gt;13,"",IF(VALUE(MID(C152,5,3))&gt;=800,1000,2000)+VALUE(MID(C152,5,3))),"")</f>
        <v/>
      </c>
      <c r="N152">
        <f>IFERROR(IF(M152="","",IF(AND(DAY(DATE(M152,VALUE(MID(C152,3,2)),VALUE(MID(C152,1,2))))=VALUE(MID(C152,1,2)),MONTH(DATE(M152,VALUE(MID(C152,3,2)),VALUE(MID(C152,1,2))))=VALUE(MID(C152,3,2))),DATE(M152,VALUE(MID(C152,3,2)),VALUE(MID(C152,1,2))),"")),"")</f>
        <v/>
      </c>
    </row>
    <row r="153">
      <c r="A153" s="2" t="n"/>
      <c r="B153" s="2" t="n"/>
      <c r="C153" s="3" t="n"/>
      <c r="D153" s="2" t="n"/>
      <c r="E153" s="4">
        <f>IF(A153="","",5)</f>
        <v/>
      </c>
      <c r="F153" s="2" t="n"/>
      <c r="G153" s="4" t="n"/>
      <c r="H153" s="2" t="n"/>
      <c r="I153" s="2" t="n"/>
      <c r="J153" s="2">
        <f>IF(C153="","",IF(LEN(C153)&lt;&gt;13,"Nema 13 cifara (ima "&amp;LEN(C153)&amp;")",IF(L153="","JMBG sadrži nešto što nije cifra",IF(N153="","Nepostojeći datum rođenja",IF(VALUE(MID(C153,13,1))&lt;&gt;L153,"Pogrešna kontrolna cifra - treba "&amp;L153,"✓ ispravan")))))</f>
        <v/>
      </c>
      <c r="K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L153">
        <f>IF(K153="","",IF(11-MOD(K153,11)&gt;9,0,11-MOD(K153,11)))</f>
        <v/>
      </c>
      <c r="M153">
        <f>IFERROR(IF(LEN(C153)&lt;&gt;13,"",IF(VALUE(MID(C153,5,3))&gt;=800,1000,2000)+VALUE(MID(C153,5,3))),"")</f>
        <v/>
      </c>
      <c r="N153">
        <f>IFERROR(IF(M153="","",IF(AND(DAY(DATE(M153,VALUE(MID(C153,3,2)),VALUE(MID(C153,1,2))))=VALUE(MID(C153,1,2)),MONTH(DATE(M153,VALUE(MID(C153,3,2)),VALUE(MID(C153,1,2))))=VALUE(MID(C153,3,2))),DATE(M153,VALUE(MID(C153,3,2)),VALUE(MID(C153,1,2))),"")),"")</f>
        <v/>
      </c>
    </row>
    <row r="154">
      <c r="A154" s="2" t="n"/>
      <c r="B154" s="2" t="n"/>
      <c r="C154" s="3" t="n"/>
      <c r="D154" s="2" t="n"/>
      <c r="E154" s="4">
        <f>IF(A154="","",5)</f>
        <v/>
      </c>
      <c r="F154" s="2" t="n"/>
      <c r="G154" s="4" t="n"/>
      <c r="H154" s="2" t="n"/>
      <c r="I154" s="2" t="n"/>
      <c r="J154" s="2">
        <f>IF(C154="","",IF(LEN(C154)&lt;&gt;13,"Nema 13 cifara (ima "&amp;LEN(C154)&amp;")",IF(L154="","JMBG sadrži nešto što nije cifra",IF(N154="","Nepostojeći datum rođenja",IF(VALUE(MID(C154,13,1))&lt;&gt;L154,"Pogrešna kontrolna cifra - treba "&amp;L154,"✓ ispravan")))))</f>
        <v/>
      </c>
      <c r="K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L154">
        <f>IF(K154="","",IF(11-MOD(K154,11)&gt;9,0,11-MOD(K154,11)))</f>
        <v/>
      </c>
      <c r="M154">
        <f>IFERROR(IF(LEN(C154)&lt;&gt;13,"",IF(VALUE(MID(C154,5,3))&gt;=800,1000,2000)+VALUE(MID(C154,5,3))),"")</f>
        <v/>
      </c>
      <c r="N154">
        <f>IFERROR(IF(M154="","",IF(AND(DAY(DATE(M154,VALUE(MID(C154,3,2)),VALUE(MID(C154,1,2))))=VALUE(MID(C154,1,2)),MONTH(DATE(M154,VALUE(MID(C154,3,2)),VALUE(MID(C154,1,2))))=VALUE(MID(C154,3,2))),DATE(M154,VALUE(MID(C154,3,2)),VALUE(MID(C154,1,2))),"")),"")</f>
        <v/>
      </c>
    </row>
    <row r="155">
      <c r="A155" s="2" t="n"/>
      <c r="B155" s="2" t="n"/>
      <c r="C155" s="3" t="n"/>
      <c r="D155" s="2" t="n"/>
      <c r="E155" s="4">
        <f>IF(A155="","",5)</f>
        <v/>
      </c>
      <c r="F155" s="2" t="n"/>
      <c r="G155" s="4" t="n"/>
      <c r="H155" s="2" t="n"/>
      <c r="I155" s="2" t="n"/>
      <c r="J155" s="2">
        <f>IF(C155="","",IF(LEN(C155)&lt;&gt;13,"Nema 13 cifara (ima "&amp;LEN(C155)&amp;")",IF(L155="","JMBG sadrži nešto što nije cifra",IF(N155="","Nepostojeći datum rođenja",IF(VALUE(MID(C155,13,1))&lt;&gt;L155,"Pogrešna kontrolna cifra - treba "&amp;L155,"✓ ispravan")))))</f>
        <v/>
      </c>
      <c r="K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L155">
        <f>IF(K155="","",IF(11-MOD(K155,11)&gt;9,0,11-MOD(K155,11)))</f>
        <v/>
      </c>
      <c r="M155">
        <f>IFERROR(IF(LEN(C155)&lt;&gt;13,"",IF(VALUE(MID(C155,5,3))&gt;=800,1000,2000)+VALUE(MID(C155,5,3))),"")</f>
        <v/>
      </c>
      <c r="N155">
        <f>IFERROR(IF(M155="","",IF(AND(DAY(DATE(M155,VALUE(MID(C155,3,2)),VALUE(MID(C155,1,2))))=VALUE(MID(C155,1,2)),MONTH(DATE(M155,VALUE(MID(C155,3,2)),VALUE(MID(C155,1,2))))=VALUE(MID(C155,3,2))),DATE(M155,VALUE(MID(C155,3,2)),VALUE(MID(C155,1,2))),"")),"")</f>
        <v/>
      </c>
    </row>
    <row r="156">
      <c r="A156" s="2" t="n"/>
      <c r="B156" s="2" t="n"/>
      <c r="C156" s="3" t="n"/>
      <c r="D156" s="2" t="n"/>
      <c r="E156" s="4">
        <f>IF(A156="","",5)</f>
        <v/>
      </c>
      <c r="F156" s="2" t="n"/>
      <c r="G156" s="4" t="n"/>
      <c r="H156" s="2" t="n"/>
      <c r="I156" s="2" t="n"/>
      <c r="J156" s="2">
        <f>IF(C156="","",IF(LEN(C156)&lt;&gt;13,"Nema 13 cifara (ima "&amp;LEN(C156)&amp;")",IF(L156="","JMBG sadrži nešto što nije cifra",IF(N156="","Nepostojeći datum rođenja",IF(VALUE(MID(C156,13,1))&lt;&gt;L156,"Pogrešna kontrolna cifra - treba "&amp;L156,"✓ ispravan")))))</f>
        <v/>
      </c>
      <c r="K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L156">
        <f>IF(K156="","",IF(11-MOD(K156,11)&gt;9,0,11-MOD(K156,11)))</f>
        <v/>
      </c>
      <c r="M156">
        <f>IFERROR(IF(LEN(C156)&lt;&gt;13,"",IF(VALUE(MID(C156,5,3))&gt;=800,1000,2000)+VALUE(MID(C156,5,3))),"")</f>
        <v/>
      </c>
      <c r="N156">
        <f>IFERROR(IF(M156="","",IF(AND(DAY(DATE(M156,VALUE(MID(C156,3,2)),VALUE(MID(C156,1,2))))=VALUE(MID(C156,1,2)),MONTH(DATE(M156,VALUE(MID(C156,3,2)),VALUE(MID(C156,1,2))))=VALUE(MID(C156,3,2))),DATE(M156,VALUE(MID(C156,3,2)),VALUE(MID(C156,1,2))),"")),"")</f>
        <v/>
      </c>
    </row>
    <row r="157">
      <c r="A157" s="2" t="n"/>
      <c r="B157" s="2" t="n"/>
      <c r="C157" s="3" t="n"/>
      <c r="D157" s="2" t="n"/>
      <c r="E157" s="4">
        <f>IF(A157="","",5)</f>
        <v/>
      </c>
      <c r="F157" s="2" t="n"/>
      <c r="G157" s="4" t="n"/>
      <c r="H157" s="2" t="n"/>
      <c r="I157" s="2" t="n"/>
      <c r="J157" s="2">
        <f>IF(C157="","",IF(LEN(C157)&lt;&gt;13,"Nema 13 cifara (ima "&amp;LEN(C157)&amp;")",IF(L157="","JMBG sadrži nešto što nije cifra",IF(N157="","Nepostojeći datum rođenja",IF(VALUE(MID(C157,13,1))&lt;&gt;L157,"Pogrešna kontrolna cifra - treba "&amp;L157,"✓ ispravan")))))</f>
        <v/>
      </c>
      <c r="K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L157">
        <f>IF(K157="","",IF(11-MOD(K157,11)&gt;9,0,11-MOD(K157,11)))</f>
        <v/>
      </c>
      <c r="M157">
        <f>IFERROR(IF(LEN(C157)&lt;&gt;13,"",IF(VALUE(MID(C157,5,3))&gt;=800,1000,2000)+VALUE(MID(C157,5,3))),"")</f>
        <v/>
      </c>
      <c r="N157">
        <f>IFERROR(IF(M157="","",IF(AND(DAY(DATE(M157,VALUE(MID(C157,3,2)),VALUE(MID(C157,1,2))))=VALUE(MID(C157,1,2)),MONTH(DATE(M157,VALUE(MID(C157,3,2)),VALUE(MID(C157,1,2))))=VALUE(MID(C157,3,2))),DATE(M157,VALUE(MID(C157,3,2)),VALUE(MID(C157,1,2))),"")),"")</f>
        <v/>
      </c>
    </row>
    <row r="158">
      <c r="A158" s="2" t="n"/>
      <c r="B158" s="2" t="n"/>
      <c r="C158" s="3" t="n"/>
      <c r="D158" s="2" t="n"/>
      <c r="E158" s="4">
        <f>IF(A158="","",5)</f>
        <v/>
      </c>
      <c r="F158" s="2" t="n"/>
      <c r="G158" s="4" t="n"/>
      <c r="H158" s="2" t="n"/>
      <c r="I158" s="2" t="n"/>
      <c r="J158" s="2">
        <f>IF(C158="","",IF(LEN(C158)&lt;&gt;13,"Nema 13 cifara (ima "&amp;LEN(C158)&amp;")",IF(L158="","JMBG sadrži nešto što nije cifra",IF(N158="","Nepostojeći datum rođenja",IF(VALUE(MID(C158,13,1))&lt;&gt;L158,"Pogrešna kontrolna cifra - treba "&amp;L158,"✓ ispravan")))))</f>
        <v/>
      </c>
      <c r="K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L158">
        <f>IF(K158="","",IF(11-MOD(K158,11)&gt;9,0,11-MOD(K158,11)))</f>
        <v/>
      </c>
      <c r="M158">
        <f>IFERROR(IF(LEN(C158)&lt;&gt;13,"",IF(VALUE(MID(C158,5,3))&gt;=800,1000,2000)+VALUE(MID(C158,5,3))),"")</f>
        <v/>
      </c>
      <c r="N158">
        <f>IFERROR(IF(M158="","",IF(AND(DAY(DATE(M158,VALUE(MID(C158,3,2)),VALUE(MID(C158,1,2))))=VALUE(MID(C158,1,2)),MONTH(DATE(M158,VALUE(MID(C158,3,2)),VALUE(MID(C158,1,2))))=VALUE(MID(C158,3,2))),DATE(M158,VALUE(MID(C158,3,2)),VALUE(MID(C158,1,2))),"")),"")</f>
        <v/>
      </c>
    </row>
    <row r="159">
      <c r="A159" s="2" t="n"/>
      <c r="B159" s="2" t="n"/>
      <c r="C159" s="3" t="n"/>
      <c r="D159" s="2" t="n"/>
      <c r="E159" s="4">
        <f>IF(A159="","",5)</f>
        <v/>
      </c>
      <c r="F159" s="2" t="n"/>
      <c r="G159" s="4" t="n"/>
      <c r="H159" s="2" t="n"/>
      <c r="I159" s="2" t="n"/>
      <c r="J159" s="2">
        <f>IF(C159="","",IF(LEN(C159)&lt;&gt;13,"Nema 13 cifara (ima "&amp;LEN(C159)&amp;")",IF(L159="","JMBG sadrži nešto što nije cifra",IF(N159="","Nepostojeći datum rođenja",IF(VALUE(MID(C159,13,1))&lt;&gt;L159,"Pogrešna kontrolna cifra - treba "&amp;L159,"✓ ispravan")))))</f>
        <v/>
      </c>
      <c r="K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L159">
        <f>IF(K159="","",IF(11-MOD(K159,11)&gt;9,0,11-MOD(K159,11)))</f>
        <v/>
      </c>
      <c r="M159">
        <f>IFERROR(IF(LEN(C159)&lt;&gt;13,"",IF(VALUE(MID(C159,5,3))&gt;=800,1000,2000)+VALUE(MID(C159,5,3))),"")</f>
        <v/>
      </c>
      <c r="N159">
        <f>IFERROR(IF(M159="","",IF(AND(DAY(DATE(M159,VALUE(MID(C159,3,2)),VALUE(MID(C159,1,2))))=VALUE(MID(C159,1,2)),MONTH(DATE(M159,VALUE(MID(C159,3,2)),VALUE(MID(C159,1,2))))=VALUE(MID(C159,3,2))),DATE(M159,VALUE(MID(C159,3,2)),VALUE(MID(C159,1,2))),"")),"")</f>
        <v/>
      </c>
    </row>
    <row r="160">
      <c r="A160" s="2" t="n"/>
      <c r="B160" s="2" t="n"/>
      <c r="C160" s="3" t="n"/>
      <c r="D160" s="2" t="n"/>
      <c r="E160" s="4">
        <f>IF(A160="","",5)</f>
        <v/>
      </c>
      <c r="F160" s="2" t="n"/>
      <c r="G160" s="4" t="n"/>
      <c r="H160" s="2" t="n"/>
      <c r="I160" s="2" t="n"/>
      <c r="J160" s="2">
        <f>IF(C160="","",IF(LEN(C160)&lt;&gt;13,"Nema 13 cifara (ima "&amp;LEN(C160)&amp;")",IF(L160="","JMBG sadrži nešto što nije cifra",IF(N160="","Nepostojeći datum rođenja",IF(VALUE(MID(C160,13,1))&lt;&gt;L160,"Pogrešna kontrolna cifra - treba "&amp;L160,"✓ ispravan")))))</f>
        <v/>
      </c>
      <c r="K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L160">
        <f>IF(K160="","",IF(11-MOD(K160,11)&gt;9,0,11-MOD(K160,11)))</f>
        <v/>
      </c>
      <c r="M160">
        <f>IFERROR(IF(LEN(C160)&lt;&gt;13,"",IF(VALUE(MID(C160,5,3))&gt;=800,1000,2000)+VALUE(MID(C160,5,3))),"")</f>
        <v/>
      </c>
      <c r="N160">
        <f>IFERROR(IF(M160="","",IF(AND(DAY(DATE(M160,VALUE(MID(C160,3,2)),VALUE(MID(C160,1,2))))=VALUE(MID(C160,1,2)),MONTH(DATE(M160,VALUE(MID(C160,3,2)),VALUE(MID(C160,1,2))))=VALUE(MID(C160,3,2))),DATE(M160,VALUE(MID(C160,3,2)),VALUE(MID(C160,1,2))),"")),"")</f>
        <v/>
      </c>
    </row>
    <row r="161">
      <c r="A161" s="2" t="n"/>
      <c r="B161" s="2" t="n"/>
      <c r="C161" s="3" t="n"/>
      <c r="D161" s="2" t="n"/>
      <c r="E161" s="4">
        <f>IF(A161="","",5)</f>
        <v/>
      </c>
      <c r="F161" s="2" t="n"/>
      <c r="G161" s="4" t="n"/>
      <c r="H161" s="2" t="n"/>
      <c r="I161" s="2" t="n"/>
      <c r="J161" s="2">
        <f>IF(C161="","",IF(LEN(C161)&lt;&gt;13,"Nema 13 cifara (ima "&amp;LEN(C161)&amp;")",IF(L161="","JMBG sadrži nešto što nije cifra",IF(N161="","Nepostojeći datum rođenja",IF(VALUE(MID(C161,13,1))&lt;&gt;L161,"Pogrešna kontrolna cifra - treba "&amp;L161,"✓ ispravan")))))</f>
        <v/>
      </c>
      <c r="K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L161">
        <f>IF(K161="","",IF(11-MOD(K161,11)&gt;9,0,11-MOD(K161,11)))</f>
        <v/>
      </c>
      <c r="M161">
        <f>IFERROR(IF(LEN(C161)&lt;&gt;13,"",IF(VALUE(MID(C161,5,3))&gt;=800,1000,2000)+VALUE(MID(C161,5,3))),"")</f>
        <v/>
      </c>
      <c r="N161">
        <f>IFERROR(IF(M161="","",IF(AND(DAY(DATE(M161,VALUE(MID(C161,3,2)),VALUE(MID(C161,1,2))))=VALUE(MID(C161,1,2)),MONTH(DATE(M161,VALUE(MID(C161,3,2)),VALUE(MID(C161,1,2))))=VALUE(MID(C161,3,2))),DATE(M161,VALUE(MID(C161,3,2)),VALUE(MID(C161,1,2))),"")),"")</f>
        <v/>
      </c>
    </row>
    <row r="162">
      <c r="A162" s="2" t="n"/>
      <c r="B162" s="2" t="n"/>
      <c r="C162" s="3" t="n"/>
      <c r="D162" s="2" t="n"/>
      <c r="E162" s="4">
        <f>IF(A162="","",5)</f>
        <v/>
      </c>
      <c r="F162" s="2" t="n"/>
      <c r="G162" s="4" t="n"/>
      <c r="H162" s="2" t="n"/>
      <c r="I162" s="2" t="n"/>
      <c r="J162" s="2">
        <f>IF(C162="","",IF(LEN(C162)&lt;&gt;13,"Nema 13 cifara (ima "&amp;LEN(C162)&amp;")",IF(L162="","JMBG sadrži nešto što nije cifra",IF(N162="","Nepostojeći datum rođenja",IF(VALUE(MID(C162,13,1))&lt;&gt;L162,"Pogrešna kontrolna cifra - treba "&amp;L162,"✓ ispravan")))))</f>
        <v/>
      </c>
      <c r="K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L162">
        <f>IF(K162="","",IF(11-MOD(K162,11)&gt;9,0,11-MOD(K162,11)))</f>
        <v/>
      </c>
      <c r="M162">
        <f>IFERROR(IF(LEN(C162)&lt;&gt;13,"",IF(VALUE(MID(C162,5,3))&gt;=800,1000,2000)+VALUE(MID(C162,5,3))),"")</f>
        <v/>
      </c>
      <c r="N162">
        <f>IFERROR(IF(M162="","",IF(AND(DAY(DATE(M162,VALUE(MID(C162,3,2)),VALUE(MID(C162,1,2))))=VALUE(MID(C162,1,2)),MONTH(DATE(M162,VALUE(MID(C162,3,2)),VALUE(MID(C162,1,2))))=VALUE(MID(C162,3,2))),DATE(M162,VALUE(MID(C162,3,2)),VALUE(MID(C162,1,2))),"")),"")</f>
        <v/>
      </c>
    </row>
    <row r="163">
      <c r="A163" s="2" t="n"/>
      <c r="B163" s="2" t="n"/>
      <c r="C163" s="3" t="n"/>
      <c r="D163" s="2" t="n"/>
      <c r="E163" s="4">
        <f>IF(A163="","",5)</f>
        <v/>
      </c>
      <c r="F163" s="2" t="n"/>
      <c r="G163" s="4" t="n"/>
      <c r="H163" s="2" t="n"/>
      <c r="I163" s="2" t="n"/>
      <c r="J163" s="2">
        <f>IF(C163="","",IF(LEN(C163)&lt;&gt;13,"Nema 13 cifara (ima "&amp;LEN(C163)&amp;")",IF(L163="","JMBG sadrži nešto što nije cifra",IF(N163="","Nepostojeći datum rođenja",IF(VALUE(MID(C163,13,1))&lt;&gt;L163,"Pogrešna kontrolna cifra - treba "&amp;L163,"✓ ispravan")))))</f>
        <v/>
      </c>
      <c r="K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L163">
        <f>IF(K163="","",IF(11-MOD(K163,11)&gt;9,0,11-MOD(K163,11)))</f>
        <v/>
      </c>
      <c r="M163">
        <f>IFERROR(IF(LEN(C163)&lt;&gt;13,"",IF(VALUE(MID(C163,5,3))&gt;=800,1000,2000)+VALUE(MID(C163,5,3))),"")</f>
        <v/>
      </c>
      <c r="N163">
        <f>IFERROR(IF(M163="","",IF(AND(DAY(DATE(M163,VALUE(MID(C163,3,2)),VALUE(MID(C163,1,2))))=VALUE(MID(C163,1,2)),MONTH(DATE(M163,VALUE(MID(C163,3,2)),VALUE(MID(C163,1,2))))=VALUE(MID(C163,3,2))),DATE(M163,VALUE(MID(C163,3,2)),VALUE(MID(C163,1,2))),"")),"")</f>
        <v/>
      </c>
    </row>
    <row r="164">
      <c r="A164" s="2" t="n"/>
      <c r="B164" s="2" t="n"/>
      <c r="C164" s="3" t="n"/>
      <c r="D164" s="2" t="n"/>
      <c r="E164" s="4">
        <f>IF(A164="","",5)</f>
        <v/>
      </c>
      <c r="F164" s="2" t="n"/>
      <c r="G164" s="4" t="n"/>
      <c r="H164" s="2" t="n"/>
      <c r="I164" s="2" t="n"/>
      <c r="J164" s="2">
        <f>IF(C164="","",IF(LEN(C164)&lt;&gt;13,"Nema 13 cifara (ima "&amp;LEN(C164)&amp;")",IF(L164="","JMBG sadrži nešto što nije cifra",IF(N164="","Nepostojeći datum rođenja",IF(VALUE(MID(C164,13,1))&lt;&gt;L164,"Pogrešna kontrolna cifra - treba "&amp;L164,"✓ ispravan")))))</f>
        <v/>
      </c>
      <c r="K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L164">
        <f>IF(K164="","",IF(11-MOD(K164,11)&gt;9,0,11-MOD(K164,11)))</f>
        <v/>
      </c>
      <c r="M164">
        <f>IFERROR(IF(LEN(C164)&lt;&gt;13,"",IF(VALUE(MID(C164,5,3))&gt;=800,1000,2000)+VALUE(MID(C164,5,3))),"")</f>
        <v/>
      </c>
      <c r="N164">
        <f>IFERROR(IF(M164="","",IF(AND(DAY(DATE(M164,VALUE(MID(C164,3,2)),VALUE(MID(C164,1,2))))=VALUE(MID(C164,1,2)),MONTH(DATE(M164,VALUE(MID(C164,3,2)),VALUE(MID(C164,1,2))))=VALUE(MID(C164,3,2))),DATE(M164,VALUE(MID(C164,3,2)),VALUE(MID(C164,1,2))),"")),"")</f>
        <v/>
      </c>
    </row>
    <row r="165">
      <c r="A165" s="2" t="n"/>
      <c r="B165" s="2" t="n"/>
      <c r="C165" s="3" t="n"/>
      <c r="D165" s="2" t="n"/>
      <c r="E165" s="4">
        <f>IF(A165="","",5)</f>
        <v/>
      </c>
      <c r="F165" s="2" t="n"/>
      <c r="G165" s="4" t="n"/>
      <c r="H165" s="2" t="n"/>
      <c r="I165" s="2" t="n"/>
      <c r="J165" s="2">
        <f>IF(C165="","",IF(LEN(C165)&lt;&gt;13,"Nema 13 cifara (ima "&amp;LEN(C165)&amp;")",IF(L165="","JMBG sadrži nešto što nije cifra",IF(N165="","Nepostojeći datum rođenja",IF(VALUE(MID(C165,13,1))&lt;&gt;L165,"Pogrešna kontrolna cifra - treba "&amp;L165,"✓ ispravan")))))</f>
        <v/>
      </c>
      <c r="K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L165">
        <f>IF(K165="","",IF(11-MOD(K165,11)&gt;9,0,11-MOD(K165,11)))</f>
        <v/>
      </c>
      <c r="M165">
        <f>IFERROR(IF(LEN(C165)&lt;&gt;13,"",IF(VALUE(MID(C165,5,3))&gt;=800,1000,2000)+VALUE(MID(C165,5,3))),"")</f>
        <v/>
      </c>
      <c r="N165">
        <f>IFERROR(IF(M165="","",IF(AND(DAY(DATE(M165,VALUE(MID(C165,3,2)),VALUE(MID(C165,1,2))))=VALUE(MID(C165,1,2)),MONTH(DATE(M165,VALUE(MID(C165,3,2)),VALUE(MID(C165,1,2))))=VALUE(MID(C165,3,2))),DATE(M165,VALUE(MID(C165,3,2)),VALUE(MID(C165,1,2))),"")),"")</f>
        <v/>
      </c>
    </row>
    <row r="166">
      <c r="A166" s="2" t="n"/>
      <c r="B166" s="2" t="n"/>
      <c r="C166" s="3" t="n"/>
      <c r="D166" s="2" t="n"/>
      <c r="E166" s="4">
        <f>IF(A166="","",5)</f>
        <v/>
      </c>
      <c r="F166" s="2" t="n"/>
      <c r="G166" s="4" t="n"/>
      <c r="H166" s="2" t="n"/>
      <c r="I166" s="2" t="n"/>
      <c r="J166" s="2">
        <f>IF(C166="","",IF(LEN(C166)&lt;&gt;13,"Nema 13 cifara (ima "&amp;LEN(C166)&amp;")",IF(L166="","JMBG sadrži nešto što nije cifra",IF(N166="","Nepostojeći datum rođenja",IF(VALUE(MID(C166,13,1))&lt;&gt;L166,"Pogrešna kontrolna cifra - treba "&amp;L166,"✓ ispravan")))))</f>
        <v/>
      </c>
      <c r="K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L166">
        <f>IF(K166="","",IF(11-MOD(K166,11)&gt;9,0,11-MOD(K166,11)))</f>
        <v/>
      </c>
      <c r="M166">
        <f>IFERROR(IF(LEN(C166)&lt;&gt;13,"",IF(VALUE(MID(C166,5,3))&gt;=800,1000,2000)+VALUE(MID(C166,5,3))),"")</f>
        <v/>
      </c>
      <c r="N166">
        <f>IFERROR(IF(M166="","",IF(AND(DAY(DATE(M166,VALUE(MID(C166,3,2)),VALUE(MID(C166,1,2))))=VALUE(MID(C166,1,2)),MONTH(DATE(M166,VALUE(MID(C166,3,2)),VALUE(MID(C166,1,2))))=VALUE(MID(C166,3,2))),DATE(M166,VALUE(MID(C166,3,2)),VALUE(MID(C166,1,2))),"")),"")</f>
        <v/>
      </c>
    </row>
    <row r="167">
      <c r="A167" s="2" t="n"/>
      <c r="B167" s="2" t="n"/>
      <c r="C167" s="3" t="n"/>
      <c r="D167" s="2" t="n"/>
      <c r="E167" s="4">
        <f>IF(A167="","",5)</f>
        <v/>
      </c>
      <c r="F167" s="2" t="n"/>
      <c r="G167" s="4" t="n"/>
      <c r="H167" s="2" t="n"/>
      <c r="I167" s="2" t="n"/>
      <c r="J167" s="2">
        <f>IF(C167="","",IF(LEN(C167)&lt;&gt;13,"Nema 13 cifara (ima "&amp;LEN(C167)&amp;")",IF(L167="","JMBG sadrži nešto što nije cifra",IF(N167="","Nepostojeći datum rođenja",IF(VALUE(MID(C167,13,1))&lt;&gt;L167,"Pogrešna kontrolna cifra - treba "&amp;L167,"✓ ispravan")))))</f>
        <v/>
      </c>
      <c r="K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L167">
        <f>IF(K167="","",IF(11-MOD(K167,11)&gt;9,0,11-MOD(K167,11)))</f>
        <v/>
      </c>
      <c r="M167">
        <f>IFERROR(IF(LEN(C167)&lt;&gt;13,"",IF(VALUE(MID(C167,5,3))&gt;=800,1000,2000)+VALUE(MID(C167,5,3))),"")</f>
        <v/>
      </c>
      <c r="N167">
        <f>IFERROR(IF(M167="","",IF(AND(DAY(DATE(M167,VALUE(MID(C167,3,2)),VALUE(MID(C167,1,2))))=VALUE(MID(C167,1,2)),MONTH(DATE(M167,VALUE(MID(C167,3,2)),VALUE(MID(C167,1,2))))=VALUE(MID(C167,3,2))),DATE(M167,VALUE(MID(C167,3,2)),VALUE(MID(C167,1,2))),"")),"")</f>
        <v/>
      </c>
    </row>
    <row r="168">
      <c r="A168" s="2" t="n"/>
      <c r="B168" s="2" t="n"/>
      <c r="C168" s="3" t="n"/>
      <c r="D168" s="2" t="n"/>
      <c r="E168" s="4">
        <f>IF(A168="","",5)</f>
        <v/>
      </c>
      <c r="F168" s="2" t="n"/>
      <c r="G168" s="4" t="n"/>
      <c r="H168" s="2" t="n"/>
      <c r="I168" s="2" t="n"/>
      <c r="J168" s="2">
        <f>IF(C168="","",IF(LEN(C168)&lt;&gt;13,"Nema 13 cifara (ima "&amp;LEN(C168)&amp;")",IF(L168="","JMBG sadrži nešto što nije cifra",IF(N168="","Nepostojeći datum rođenja",IF(VALUE(MID(C168,13,1))&lt;&gt;L168,"Pogrešna kontrolna cifra - treba "&amp;L168,"✓ ispravan")))))</f>
        <v/>
      </c>
      <c r="K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L168">
        <f>IF(K168="","",IF(11-MOD(K168,11)&gt;9,0,11-MOD(K168,11)))</f>
        <v/>
      </c>
      <c r="M168">
        <f>IFERROR(IF(LEN(C168)&lt;&gt;13,"",IF(VALUE(MID(C168,5,3))&gt;=800,1000,2000)+VALUE(MID(C168,5,3))),"")</f>
        <v/>
      </c>
      <c r="N168">
        <f>IFERROR(IF(M168="","",IF(AND(DAY(DATE(M168,VALUE(MID(C168,3,2)),VALUE(MID(C168,1,2))))=VALUE(MID(C168,1,2)),MONTH(DATE(M168,VALUE(MID(C168,3,2)),VALUE(MID(C168,1,2))))=VALUE(MID(C168,3,2))),DATE(M168,VALUE(MID(C168,3,2)),VALUE(MID(C168,1,2))),"")),"")</f>
        <v/>
      </c>
    </row>
    <row r="169">
      <c r="A169" s="2" t="n"/>
      <c r="B169" s="2" t="n"/>
      <c r="C169" s="3" t="n"/>
      <c r="D169" s="2" t="n"/>
      <c r="E169" s="4">
        <f>IF(A169="","",5)</f>
        <v/>
      </c>
      <c r="F169" s="2" t="n"/>
      <c r="G169" s="4" t="n"/>
      <c r="H169" s="2" t="n"/>
      <c r="I169" s="2" t="n"/>
      <c r="J169" s="2">
        <f>IF(C169="","",IF(LEN(C169)&lt;&gt;13,"Nema 13 cifara (ima "&amp;LEN(C169)&amp;")",IF(L169="","JMBG sadrži nešto što nije cifra",IF(N169="","Nepostojeći datum rođenja",IF(VALUE(MID(C169,13,1))&lt;&gt;L169,"Pogrešna kontrolna cifra - treba "&amp;L169,"✓ ispravan")))))</f>
        <v/>
      </c>
      <c r="K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L169">
        <f>IF(K169="","",IF(11-MOD(K169,11)&gt;9,0,11-MOD(K169,11)))</f>
        <v/>
      </c>
      <c r="M169">
        <f>IFERROR(IF(LEN(C169)&lt;&gt;13,"",IF(VALUE(MID(C169,5,3))&gt;=800,1000,2000)+VALUE(MID(C169,5,3))),"")</f>
        <v/>
      </c>
      <c r="N169">
        <f>IFERROR(IF(M169="","",IF(AND(DAY(DATE(M169,VALUE(MID(C169,3,2)),VALUE(MID(C169,1,2))))=VALUE(MID(C169,1,2)),MONTH(DATE(M169,VALUE(MID(C169,3,2)),VALUE(MID(C169,1,2))))=VALUE(MID(C169,3,2))),DATE(M169,VALUE(MID(C169,3,2)),VALUE(MID(C169,1,2))),"")),"")</f>
        <v/>
      </c>
    </row>
    <row r="170">
      <c r="A170" s="2" t="n"/>
      <c r="B170" s="2" t="n"/>
      <c r="C170" s="3" t="n"/>
      <c r="D170" s="2" t="n"/>
      <c r="E170" s="4">
        <f>IF(A170="","",5)</f>
        <v/>
      </c>
      <c r="F170" s="2" t="n"/>
      <c r="G170" s="4" t="n"/>
      <c r="H170" s="2" t="n"/>
      <c r="I170" s="2" t="n"/>
      <c r="J170" s="2">
        <f>IF(C170="","",IF(LEN(C170)&lt;&gt;13,"Nema 13 cifara (ima "&amp;LEN(C170)&amp;")",IF(L170="","JMBG sadrži nešto što nije cifra",IF(N170="","Nepostojeći datum rođenja",IF(VALUE(MID(C170,13,1))&lt;&gt;L170,"Pogrešna kontrolna cifra - treba "&amp;L170,"✓ ispravan")))))</f>
        <v/>
      </c>
      <c r="K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L170">
        <f>IF(K170="","",IF(11-MOD(K170,11)&gt;9,0,11-MOD(K170,11)))</f>
        <v/>
      </c>
      <c r="M170">
        <f>IFERROR(IF(LEN(C170)&lt;&gt;13,"",IF(VALUE(MID(C170,5,3))&gt;=800,1000,2000)+VALUE(MID(C170,5,3))),"")</f>
        <v/>
      </c>
      <c r="N170">
        <f>IFERROR(IF(M170="","",IF(AND(DAY(DATE(M170,VALUE(MID(C170,3,2)),VALUE(MID(C170,1,2))))=VALUE(MID(C170,1,2)),MONTH(DATE(M170,VALUE(MID(C170,3,2)),VALUE(MID(C170,1,2))))=VALUE(MID(C170,3,2))),DATE(M170,VALUE(MID(C170,3,2)),VALUE(MID(C170,1,2))),"")),"")</f>
        <v/>
      </c>
    </row>
    <row r="171">
      <c r="A171" s="2" t="n"/>
      <c r="B171" s="2" t="n"/>
      <c r="C171" s="3" t="n"/>
      <c r="D171" s="2" t="n"/>
      <c r="E171" s="4">
        <f>IF(A171="","",5)</f>
        <v/>
      </c>
      <c r="F171" s="2" t="n"/>
      <c r="G171" s="4" t="n"/>
      <c r="H171" s="2" t="n"/>
      <c r="I171" s="2" t="n"/>
      <c r="J171" s="2">
        <f>IF(C171="","",IF(LEN(C171)&lt;&gt;13,"Nema 13 cifara (ima "&amp;LEN(C171)&amp;")",IF(L171="","JMBG sadrži nešto što nije cifra",IF(N171="","Nepostojeći datum rođenja",IF(VALUE(MID(C171,13,1))&lt;&gt;L171,"Pogrešna kontrolna cifra - treba "&amp;L171,"✓ ispravan")))))</f>
        <v/>
      </c>
      <c r="K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L171">
        <f>IF(K171="","",IF(11-MOD(K171,11)&gt;9,0,11-MOD(K171,11)))</f>
        <v/>
      </c>
      <c r="M171">
        <f>IFERROR(IF(LEN(C171)&lt;&gt;13,"",IF(VALUE(MID(C171,5,3))&gt;=800,1000,2000)+VALUE(MID(C171,5,3))),"")</f>
        <v/>
      </c>
      <c r="N171">
        <f>IFERROR(IF(M171="","",IF(AND(DAY(DATE(M171,VALUE(MID(C171,3,2)),VALUE(MID(C171,1,2))))=VALUE(MID(C171,1,2)),MONTH(DATE(M171,VALUE(MID(C171,3,2)),VALUE(MID(C171,1,2))))=VALUE(MID(C171,3,2))),DATE(M171,VALUE(MID(C171,3,2)),VALUE(MID(C171,1,2))),"")),"")</f>
        <v/>
      </c>
    </row>
    <row r="172">
      <c r="A172" s="2" t="n"/>
      <c r="B172" s="2" t="n"/>
      <c r="C172" s="3" t="n"/>
      <c r="D172" s="2" t="n"/>
      <c r="E172" s="4">
        <f>IF(A172="","",5)</f>
        <v/>
      </c>
      <c r="F172" s="2" t="n"/>
      <c r="G172" s="4" t="n"/>
      <c r="H172" s="2" t="n"/>
      <c r="I172" s="2" t="n"/>
      <c r="J172" s="2">
        <f>IF(C172="","",IF(LEN(C172)&lt;&gt;13,"Nema 13 cifara (ima "&amp;LEN(C172)&amp;")",IF(L172="","JMBG sadrži nešto što nije cifra",IF(N172="","Nepostojeći datum rođenja",IF(VALUE(MID(C172,13,1))&lt;&gt;L172,"Pogrešna kontrolna cifra - treba "&amp;L172,"✓ ispravan")))))</f>
        <v/>
      </c>
      <c r="K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L172">
        <f>IF(K172="","",IF(11-MOD(K172,11)&gt;9,0,11-MOD(K172,11)))</f>
        <v/>
      </c>
      <c r="M172">
        <f>IFERROR(IF(LEN(C172)&lt;&gt;13,"",IF(VALUE(MID(C172,5,3))&gt;=800,1000,2000)+VALUE(MID(C172,5,3))),"")</f>
        <v/>
      </c>
      <c r="N172">
        <f>IFERROR(IF(M172="","",IF(AND(DAY(DATE(M172,VALUE(MID(C172,3,2)),VALUE(MID(C172,1,2))))=VALUE(MID(C172,1,2)),MONTH(DATE(M172,VALUE(MID(C172,3,2)),VALUE(MID(C172,1,2))))=VALUE(MID(C172,3,2))),DATE(M172,VALUE(MID(C172,3,2)),VALUE(MID(C172,1,2))),"")),"")</f>
        <v/>
      </c>
    </row>
    <row r="173">
      <c r="A173" s="2" t="n"/>
      <c r="B173" s="2" t="n"/>
      <c r="C173" s="3" t="n"/>
      <c r="D173" s="2" t="n"/>
      <c r="E173" s="4">
        <f>IF(A173="","",5)</f>
        <v/>
      </c>
      <c r="F173" s="2" t="n"/>
      <c r="G173" s="4" t="n"/>
      <c r="H173" s="2" t="n"/>
      <c r="I173" s="2" t="n"/>
      <c r="J173" s="2">
        <f>IF(C173="","",IF(LEN(C173)&lt;&gt;13,"Nema 13 cifara (ima "&amp;LEN(C173)&amp;")",IF(L173="","JMBG sadrži nešto što nije cifra",IF(N173="","Nepostojeći datum rođenja",IF(VALUE(MID(C173,13,1))&lt;&gt;L173,"Pogrešna kontrolna cifra - treba "&amp;L173,"✓ ispravan")))))</f>
        <v/>
      </c>
      <c r="K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L173">
        <f>IF(K173="","",IF(11-MOD(K173,11)&gt;9,0,11-MOD(K173,11)))</f>
        <v/>
      </c>
      <c r="M173">
        <f>IFERROR(IF(LEN(C173)&lt;&gt;13,"",IF(VALUE(MID(C173,5,3))&gt;=800,1000,2000)+VALUE(MID(C173,5,3))),"")</f>
        <v/>
      </c>
      <c r="N173">
        <f>IFERROR(IF(M173="","",IF(AND(DAY(DATE(M173,VALUE(MID(C173,3,2)),VALUE(MID(C173,1,2))))=VALUE(MID(C173,1,2)),MONTH(DATE(M173,VALUE(MID(C173,3,2)),VALUE(MID(C173,1,2))))=VALUE(MID(C173,3,2))),DATE(M173,VALUE(MID(C173,3,2)),VALUE(MID(C173,1,2))),"")),"")</f>
        <v/>
      </c>
    </row>
    <row r="174">
      <c r="A174" s="2" t="n"/>
      <c r="B174" s="2" t="n"/>
      <c r="C174" s="3" t="n"/>
      <c r="D174" s="2" t="n"/>
      <c r="E174" s="4">
        <f>IF(A174="","",5)</f>
        <v/>
      </c>
      <c r="F174" s="2" t="n"/>
      <c r="G174" s="4" t="n"/>
      <c r="H174" s="2" t="n"/>
      <c r="I174" s="2" t="n"/>
      <c r="J174" s="2">
        <f>IF(C174="","",IF(LEN(C174)&lt;&gt;13,"Nema 13 cifara (ima "&amp;LEN(C174)&amp;")",IF(L174="","JMBG sadrži nešto što nije cifra",IF(N174="","Nepostojeći datum rođenja",IF(VALUE(MID(C174,13,1))&lt;&gt;L174,"Pogrešna kontrolna cifra - treba "&amp;L174,"✓ ispravan")))))</f>
        <v/>
      </c>
      <c r="K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L174">
        <f>IF(K174="","",IF(11-MOD(K174,11)&gt;9,0,11-MOD(K174,11)))</f>
        <v/>
      </c>
      <c r="M174">
        <f>IFERROR(IF(LEN(C174)&lt;&gt;13,"",IF(VALUE(MID(C174,5,3))&gt;=800,1000,2000)+VALUE(MID(C174,5,3))),"")</f>
        <v/>
      </c>
      <c r="N174">
        <f>IFERROR(IF(M174="","",IF(AND(DAY(DATE(M174,VALUE(MID(C174,3,2)),VALUE(MID(C174,1,2))))=VALUE(MID(C174,1,2)),MONTH(DATE(M174,VALUE(MID(C174,3,2)),VALUE(MID(C174,1,2))))=VALUE(MID(C174,3,2))),DATE(M174,VALUE(MID(C174,3,2)),VALUE(MID(C174,1,2))),"")),"")</f>
        <v/>
      </c>
    </row>
    <row r="175">
      <c r="A175" s="2" t="n"/>
      <c r="B175" s="2" t="n"/>
      <c r="C175" s="3" t="n"/>
      <c r="D175" s="2" t="n"/>
      <c r="E175" s="4">
        <f>IF(A175="","",5)</f>
        <v/>
      </c>
      <c r="F175" s="2" t="n"/>
      <c r="G175" s="4" t="n"/>
      <c r="H175" s="2" t="n"/>
      <c r="I175" s="2" t="n"/>
      <c r="J175" s="2">
        <f>IF(C175="","",IF(LEN(C175)&lt;&gt;13,"Nema 13 cifara (ima "&amp;LEN(C175)&amp;")",IF(L175="","JMBG sadrži nešto što nije cifra",IF(N175="","Nepostojeći datum rođenja",IF(VALUE(MID(C175,13,1))&lt;&gt;L175,"Pogrešna kontrolna cifra - treba "&amp;L175,"✓ ispravan")))))</f>
        <v/>
      </c>
      <c r="K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L175">
        <f>IF(K175="","",IF(11-MOD(K175,11)&gt;9,0,11-MOD(K175,11)))</f>
        <v/>
      </c>
      <c r="M175">
        <f>IFERROR(IF(LEN(C175)&lt;&gt;13,"",IF(VALUE(MID(C175,5,3))&gt;=800,1000,2000)+VALUE(MID(C175,5,3))),"")</f>
        <v/>
      </c>
      <c r="N175">
        <f>IFERROR(IF(M175="","",IF(AND(DAY(DATE(M175,VALUE(MID(C175,3,2)),VALUE(MID(C175,1,2))))=VALUE(MID(C175,1,2)),MONTH(DATE(M175,VALUE(MID(C175,3,2)),VALUE(MID(C175,1,2))))=VALUE(MID(C175,3,2))),DATE(M175,VALUE(MID(C175,3,2)),VALUE(MID(C175,1,2))),"")),"")</f>
        <v/>
      </c>
    </row>
    <row r="176">
      <c r="A176" s="2" t="n"/>
      <c r="B176" s="2" t="n"/>
      <c r="C176" s="3" t="n"/>
      <c r="D176" s="2" t="n"/>
      <c r="E176" s="4">
        <f>IF(A176="","",5)</f>
        <v/>
      </c>
      <c r="F176" s="2" t="n"/>
      <c r="G176" s="4" t="n"/>
      <c r="H176" s="2" t="n"/>
      <c r="I176" s="2" t="n"/>
      <c r="J176" s="2">
        <f>IF(C176="","",IF(LEN(C176)&lt;&gt;13,"Nema 13 cifara (ima "&amp;LEN(C176)&amp;")",IF(L176="","JMBG sadrži nešto što nije cifra",IF(N176="","Nepostojeći datum rođenja",IF(VALUE(MID(C176,13,1))&lt;&gt;L176,"Pogrešna kontrolna cifra - treba "&amp;L176,"✓ ispravan")))))</f>
        <v/>
      </c>
      <c r="K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L176">
        <f>IF(K176="","",IF(11-MOD(K176,11)&gt;9,0,11-MOD(K176,11)))</f>
        <v/>
      </c>
      <c r="M176">
        <f>IFERROR(IF(LEN(C176)&lt;&gt;13,"",IF(VALUE(MID(C176,5,3))&gt;=800,1000,2000)+VALUE(MID(C176,5,3))),"")</f>
        <v/>
      </c>
      <c r="N176">
        <f>IFERROR(IF(M176="","",IF(AND(DAY(DATE(M176,VALUE(MID(C176,3,2)),VALUE(MID(C176,1,2))))=VALUE(MID(C176,1,2)),MONTH(DATE(M176,VALUE(MID(C176,3,2)),VALUE(MID(C176,1,2))))=VALUE(MID(C176,3,2))),DATE(M176,VALUE(MID(C176,3,2)),VALUE(MID(C176,1,2))),"")),"")</f>
        <v/>
      </c>
    </row>
    <row r="177">
      <c r="A177" s="2" t="n"/>
      <c r="B177" s="2" t="n"/>
      <c r="C177" s="3" t="n"/>
      <c r="D177" s="2" t="n"/>
      <c r="E177" s="4">
        <f>IF(A177="","",5)</f>
        <v/>
      </c>
      <c r="F177" s="2" t="n"/>
      <c r="G177" s="4" t="n"/>
      <c r="H177" s="2" t="n"/>
      <c r="I177" s="2" t="n"/>
      <c r="J177" s="2">
        <f>IF(C177="","",IF(LEN(C177)&lt;&gt;13,"Nema 13 cifara (ima "&amp;LEN(C177)&amp;")",IF(L177="","JMBG sadrži nešto što nije cifra",IF(N177="","Nepostojeći datum rođenja",IF(VALUE(MID(C177,13,1))&lt;&gt;L177,"Pogrešna kontrolna cifra - treba "&amp;L177,"✓ ispravan")))))</f>
        <v/>
      </c>
      <c r="K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L177">
        <f>IF(K177="","",IF(11-MOD(K177,11)&gt;9,0,11-MOD(K177,11)))</f>
        <v/>
      </c>
      <c r="M177">
        <f>IFERROR(IF(LEN(C177)&lt;&gt;13,"",IF(VALUE(MID(C177,5,3))&gt;=800,1000,2000)+VALUE(MID(C177,5,3))),"")</f>
        <v/>
      </c>
      <c r="N177">
        <f>IFERROR(IF(M177="","",IF(AND(DAY(DATE(M177,VALUE(MID(C177,3,2)),VALUE(MID(C177,1,2))))=VALUE(MID(C177,1,2)),MONTH(DATE(M177,VALUE(MID(C177,3,2)),VALUE(MID(C177,1,2))))=VALUE(MID(C177,3,2))),DATE(M177,VALUE(MID(C177,3,2)),VALUE(MID(C177,1,2))),"")),"")</f>
        <v/>
      </c>
    </row>
    <row r="178">
      <c r="A178" s="2" t="n"/>
      <c r="B178" s="2" t="n"/>
      <c r="C178" s="3" t="n"/>
      <c r="D178" s="2" t="n"/>
      <c r="E178" s="4">
        <f>IF(A178="","",5)</f>
        <v/>
      </c>
      <c r="F178" s="2" t="n"/>
      <c r="G178" s="4" t="n"/>
      <c r="H178" s="2" t="n"/>
      <c r="I178" s="2" t="n"/>
      <c r="J178" s="2">
        <f>IF(C178="","",IF(LEN(C178)&lt;&gt;13,"Nema 13 cifara (ima "&amp;LEN(C178)&amp;")",IF(L178="","JMBG sadrži nešto što nije cifra",IF(N178="","Nepostojeći datum rođenja",IF(VALUE(MID(C178,13,1))&lt;&gt;L178,"Pogrešna kontrolna cifra - treba "&amp;L178,"✓ ispravan")))))</f>
        <v/>
      </c>
      <c r="K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L178">
        <f>IF(K178="","",IF(11-MOD(K178,11)&gt;9,0,11-MOD(K178,11)))</f>
        <v/>
      </c>
      <c r="M178">
        <f>IFERROR(IF(LEN(C178)&lt;&gt;13,"",IF(VALUE(MID(C178,5,3))&gt;=800,1000,2000)+VALUE(MID(C178,5,3))),"")</f>
        <v/>
      </c>
      <c r="N178">
        <f>IFERROR(IF(M178="","",IF(AND(DAY(DATE(M178,VALUE(MID(C178,3,2)),VALUE(MID(C178,1,2))))=VALUE(MID(C178,1,2)),MONTH(DATE(M178,VALUE(MID(C178,3,2)),VALUE(MID(C178,1,2))))=VALUE(MID(C178,3,2))),DATE(M178,VALUE(MID(C178,3,2)),VALUE(MID(C178,1,2))),"")),"")</f>
        <v/>
      </c>
    </row>
    <row r="179">
      <c r="A179" s="2" t="n"/>
      <c r="B179" s="2" t="n"/>
      <c r="C179" s="3" t="n"/>
      <c r="D179" s="2" t="n"/>
      <c r="E179" s="4">
        <f>IF(A179="","",5)</f>
        <v/>
      </c>
      <c r="F179" s="2" t="n"/>
      <c r="G179" s="4" t="n"/>
      <c r="H179" s="2" t="n"/>
      <c r="I179" s="2" t="n"/>
      <c r="J179" s="2">
        <f>IF(C179="","",IF(LEN(C179)&lt;&gt;13,"Nema 13 cifara (ima "&amp;LEN(C179)&amp;")",IF(L179="","JMBG sadrži nešto što nije cifra",IF(N179="","Nepostojeći datum rođenja",IF(VALUE(MID(C179,13,1))&lt;&gt;L179,"Pogrešna kontrolna cifra - treba "&amp;L179,"✓ ispravan")))))</f>
        <v/>
      </c>
      <c r="K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L179">
        <f>IF(K179="","",IF(11-MOD(K179,11)&gt;9,0,11-MOD(K179,11)))</f>
        <v/>
      </c>
      <c r="M179">
        <f>IFERROR(IF(LEN(C179)&lt;&gt;13,"",IF(VALUE(MID(C179,5,3))&gt;=800,1000,2000)+VALUE(MID(C179,5,3))),"")</f>
        <v/>
      </c>
      <c r="N179">
        <f>IFERROR(IF(M179="","",IF(AND(DAY(DATE(M179,VALUE(MID(C179,3,2)),VALUE(MID(C179,1,2))))=VALUE(MID(C179,1,2)),MONTH(DATE(M179,VALUE(MID(C179,3,2)),VALUE(MID(C179,1,2))))=VALUE(MID(C179,3,2))),DATE(M179,VALUE(MID(C179,3,2)),VALUE(MID(C179,1,2))),"")),"")</f>
        <v/>
      </c>
    </row>
    <row r="180">
      <c r="A180" s="2" t="n"/>
      <c r="B180" s="2" t="n"/>
      <c r="C180" s="3" t="n"/>
      <c r="D180" s="2" t="n"/>
      <c r="E180" s="4">
        <f>IF(A180="","",5)</f>
        <v/>
      </c>
      <c r="F180" s="2" t="n"/>
      <c r="G180" s="4" t="n"/>
      <c r="H180" s="2" t="n"/>
      <c r="I180" s="2" t="n"/>
      <c r="J180" s="2">
        <f>IF(C180="","",IF(LEN(C180)&lt;&gt;13,"Nema 13 cifara (ima "&amp;LEN(C180)&amp;")",IF(L180="","JMBG sadrži nešto što nije cifra",IF(N180="","Nepostojeći datum rođenja",IF(VALUE(MID(C180,13,1))&lt;&gt;L180,"Pogrešna kontrolna cifra - treba "&amp;L180,"✓ ispravan")))))</f>
        <v/>
      </c>
      <c r="K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L180">
        <f>IF(K180="","",IF(11-MOD(K180,11)&gt;9,0,11-MOD(K180,11)))</f>
        <v/>
      </c>
      <c r="M180">
        <f>IFERROR(IF(LEN(C180)&lt;&gt;13,"",IF(VALUE(MID(C180,5,3))&gt;=800,1000,2000)+VALUE(MID(C180,5,3))),"")</f>
        <v/>
      </c>
      <c r="N180">
        <f>IFERROR(IF(M180="","",IF(AND(DAY(DATE(M180,VALUE(MID(C180,3,2)),VALUE(MID(C180,1,2))))=VALUE(MID(C180,1,2)),MONTH(DATE(M180,VALUE(MID(C180,3,2)),VALUE(MID(C180,1,2))))=VALUE(MID(C180,3,2))),DATE(M180,VALUE(MID(C180,3,2)),VALUE(MID(C180,1,2))),"")),"")</f>
        <v/>
      </c>
    </row>
    <row r="181">
      <c r="A181" s="2" t="n"/>
      <c r="B181" s="2" t="n"/>
      <c r="C181" s="3" t="n"/>
      <c r="D181" s="2" t="n"/>
      <c r="E181" s="4">
        <f>IF(A181="","",5)</f>
        <v/>
      </c>
      <c r="F181" s="2" t="n"/>
      <c r="G181" s="4" t="n"/>
      <c r="H181" s="2" t="n"/>
      <c r="I181" s="2" t="n"/>
      <c r="J181" s="2">
        <f>IF(C181="","",IF(LEN(C181)&lt;&gt;13,"Nema 13 cifara (ima "&amp;LEN(C181)&amp;")",IF(L181="","JMBG sadrži nešto što nije cifra",IF(N181="","Nepostojeći datum rođenja",IF(VALUE(MID(C181,13,1))&lt;&gt;L181,"Pogrešna kontrolna cifra - treba "&amp;L181,"✓ ispravan")))))</f>
        <v/>
      </c>
      <c r="K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L181">
        <f>IF(K181="","",IF(11-MOD(K181,11)&gt;9,0,11-MOD(K181,11)))</f>
        <v/>
      </c>
      <c r="M181">
        <f>IFERROR(IF(LEN(C181)&lt;&gt;13,"",IF(VALUE(MID(C181,5,3))&gt;=800,1000,2000)+VALUE(MID(C181,5,3))),"")</f>
        <v/>
      </c>
      <c r="N181">
        <f>IFERROR(IF(M181="","",IF(AND(DAY(DATE(M181,VALUE(MID(C181,3,2)),VALUE(MID(C181,1,2))))=VALUE(MID(C181,1,2)),MONTH(DATE(M181,VALUE(MID(C181,3,2)),VALUE(MID(C181,1,2))))=VALUE(MID(C181,3,2))),DATE(M181,VALUE(MID(C181,3,2)),VALUE(MID(C181,1,2))),"")),"")</f>
        <v/>
      </c>
    </row>
    <row r="182">
      <c r="A182" s="2" t="n"/>
      <c r="B182" s="2" t="n"/>
      <c r="C182" s="3" t="n"/>
      <c r="D182" s="2" t="n"/>
      <c r="E182" s="4">
        <f>IF(A182="","",5)</f>
        <v/>
      </c>
      <c r="F182" s="2" t="n"/>
      <c r="G182" s="4" t="n"/>
      <c r="H182" s="2" t="n"/>
      <c r="I182" s="2" t="n"/>
      <c r="J182" s="2">
        <f>IF(C182="","",IF(LEN(C182)&lt;&gt;13,"Nema 13 cifara (ima "&amp;LEN(C182)&amp;")",IF(L182="","JMBG sadrži nešto što nije cifra",IF(N182="","Nepostojeći datum rođenja",IF(VALUE(MID(C182,13,1))&lt;&gt;L182,"Pogrešna kontrolna cifra - treba "&amp;L182,"✓ ispravan")))))</f>
        <v/>
      </c>
      <c r="K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L182">
        <f>IF(K182="","",IF(11-MOD(K182,11)&gt;9,0,11-MOD(K182,11)))</f>
        <v/>
      </c>
      <c r="M182">
        <f>IFERROR(IF(LEN(C182)&lt;&gt;13,"",IF(VALUE(MID(C182,5,3))&gt;=800,1000,2000)+VALUE(MID(C182,5,3))),"")</f>
        <v/>
      </c>
      <c r="N182">
        <f>IFERROR(IF(M182="","",IF(AND(DAY(DATE(M182,VALUE(MID(C182,3,2)),VALUE(MID(C182,1,2))))=VALUE(MID(C182,1,2)),MONTH(DATE(M182,VALUE(MID(C182,3,2)),VALUE(MID(C182,1,2))))=VALUE(MID(C182,3,2))),DATE(M182,VALUE(MID(C182,3,2)),VALUE(MID(C182,1,2))),"")),"")</f>
        <v/>
      </c>
    </row>
    <row r="183">
      <c r="A183" s="2" t="n"/>
      <c r="B183" s="2" t="n"/>
      <c r="C183" s="3" t="n"/>
      <c r="D183" s="2" t="n"/>
      <c r="E183" s="4">
        <f>IF(A183="","",5)</f>
        <v/>
      </c>
      <c r="F183" s="2" t="n"/>
      <c r="G183" s="4" t="n"/>
      <c r="H183" s="2" t="n"/>
      <c r="I183" s="2" t="n"/>
      <c r="J183" s="2">
        <f>IF(C183="","",IF(LEN(C183)&lt;&gt;13,"Nema 13 cifara (ima "&amp;LEN(C183)&amp;")",IF(L183="","JMBG sadrži nešto što nije cifra",IF(N183="","Nepostojeći datum rođenja",IF(VALUE(MID(C183,13,1))&lt;&gt;L183,"Pogrešna kontrolna cifra - treba "&amp;L183,"✓ ispravan")))))</f>
        <v/>
      </c>
      <c r="K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L183">
        <f>IF(K183="","",IF(11-MOD(K183,11)&gt;9,0,11-MOD(K183,11)))</f>
        <v/>
      </c>
      <c r="M183">
        <f>IFERROR(IF(LEN(C183)&lt;&gt;13,"",IF(VALUE(MID(C183,5,3))&gt;=800,1000,2000)+VALUE(MID(C183,5,3))),"")</f>
        <v/>
      </c>
      <c r="N183">
        <f>IFERROR(IF(M183="","",IF(AND(DAY(DATE(M183,VALUE(MID(C183,3,2)),VALUE(MID(C183,1,2))))=VALUE(MID(C183,1,2)),MONTH(DATE(M183,VALUE(MID(C183,3,2)),VALUE(MID(C183,1,2))))=VALUE(MID(C183,3,2))),DATE(M183,VALUE(MID(C183,3,2)),VALUE(MID(C183,1,2))),"")),"")</f>
        <v/>
      </c>
    </row>
    <row r="184">
      <c r="A184" s="2" t="n"/>
      <c r="B184" s="2" t="n"/>
      <c r="C184" s="3" t="n"/>
      <c r="D184" s="2" t="n"/>
      <c r="E184" s="4">
        <f>IF(A184="","",5)</f>
        <v/>
      </c>
      <c r="F184" s="2" t="n"/>
      <c r="G184" s="4" t="n"/>
      <c r="H184" s="2" t="n"/>
      <c r="I184" s="2" t="n"/>
      <c r="J184" s="2">
        <f>IF(C184="","",IF(LEN(C184)&lt;&gt;13,"Nema 13 cifara (ima "&amp;LEN(C184)&amp;")",IF(L184="","JMBG sadrži nešto što nije cifra",IF(N184="","Nepostojeći datum rođenja",IF(VALUE(MID(C184,13,1))&lt;&gt;L184,"Pogrešna kontrolna cifra - treba "&amp;L184,"✓ ispravan")))))</f>
        <v/>
      </c>
      <c r="K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L184">
        <f>IF(K184="","",IF(11-MOD(K184,11)&gt;9,0,11-MOD(K184,11)))</f>
        <v/>
      </c>
      <c r="M184">
        <f>IFERROR(IF(LEN(C184)&lt;&gt;13,"",IF(VALUE(MID(C184,5,3))&gt;=800,1000,2000)+VALUE(MID(C184,5,3))),"")</f>
        <v/>
      </c>
      <c r="N184">
        <f>IFERROR(IF(M184="","",IF(AND(DAY(DATE(M184,VALUE(MID(C184,3,2)),VALUE(MID(C184,1,2))))=VALUE(MID(C184,1,2)),MONTH(DATE(M184,VALUE(MID(C184,3,2)),VALUE(MID(C184,1,2))))=VALUE(MID(C184,3,2))),DATE(M184,VALUE(MID(C184,3,2)),VALUE(MID(C184,1,2))),"")),"")</f>
        <v/>
      </c>
    </row>
    <row r="185">
      <c r="A185" s="2" t="n"/>
      <c r="B185" s="2" t="n"/>
      <c r="C185" s="3" t="n"/>
      <c r="D185" s="2" t="n"/>
      <c r="E185" s="4">
        <f>IF(A185="","",5)</f>
        <v/>
      </c>
      <c r="F185" s="2" t="n"/>
      <c r="G185" s="4" t="n"/>
      <c r="H185" s="2" t="n"/>
      <c r="I185" s="2" t="n"/>
      <c r="J185" s="2">
        <f>IF(C185="","",IF(LEN(C185)&lt;&gt;13,"Nema 13 cifara (ima "&amp;LEN(C185)&amp;")",IF(L185="","JMBG sadrži nešto što nije cifra",IF(N185="","Nepostojeći datum rođenja",IF(VALUE(MID(C185,13,1))&lt;&gt;L185,"Pogrešna kontrolna cifra - treba "&amp;L185,"✓ ispravan")))))</f>
        <v/>
      </c>
      <c r="K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L185">
        <f>IF(K185="","",IF(11-MOD(K185,11)&gt;9,0,11-MOD(K185,11)))</f>
        <v/>
      </c>
      <c r="M185">
        <f>IFERROR(IF(LEN(C185)&lt;&gt;13,"",IF(VALUE(MID(C185,5,3))&gt;=800,1000,2000)+VALUE(MID(C185,5,3))),"")</f>
        <v/>
      </c>
      <c r="N185">
        <f>IFERROR(IF(M185="","",IF(AND(DAY(DATE(M185,VALUE(MID(C185,3,2)),VALUE(MID(C185,1,2))))=VALUE(MID(C185,1,2)),MONTH(DATE(M185,VALUE(MID(C185,3,2)),VALUE(MID(C185,1,2))))=VALUE(MID(C185,3,2))),DATE(M185,VALUE(MID(C185,3,2)),VALUE(MID(C185,1,2))),"")),"")</f>
        <v/>
      </c>
    </row>
    <row r="186">
      <c r="A186" s="2" t="n"/>
      <c r="B186" s="2" t="n"/>
      <c r="C186" s="3" t="n"/>
      <c r="D186" s="2" t="n"/>
      <c r="E186" s="4">
        <f>IF(A186="","",5)</f>
        <v/>
      </c>
      <c r="F186" s="2" t="n"/>
      <c r="G186" s="4" t="n"/>
      <c r="H186" s="2" t="n"/>
      <c r="I186" s="2" t="n"/>
      <c r="J186" s="2">
        <f>IF(C186="","",IF(LEN(C186)&lt;&gt;13,"Nema 13 cifara (ima "&amp;LEN(C186)&amp;")",IF(L186="","JMBG sadrži nešto što nije cifra",IF(N186="","Nepostojeći datum rođenja",IF(VALUE(MID(C186,13,1))&lt;&gt;L186,"Pogrešna kontrolna cifra - treba "&amp;L186,"✓ ispravan")))))</f>
        <v/>
      </c>
      <c r="K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L186">
        <f>IF(K186="","",IF(11-MOD(K186,11)&gt;9,0,11-MOD(K186,11)))</f>
        <v/>
      </c>
      <c r="M186">
        <f>IFERROR(IF(LEN(C186)&lt;&gt;13,"",IF(VALUE(MID(C186,5,3))&gt;=800,1000,2000)+VALUE(MID(C186,5,3))),"")</f>
        <v/>
      </c>
      <c r="N186">
        <f>IFERROR(IF(M186="","",IF(AND(DAY(DATE(M186,VALUE(MID(C186,3,2)),VALUE(MID(C186,1,2))))=VALUE(MID(C186,1,2)),MONTH(DATE(M186,VALUE(MID(C186,3,2)),VALUE(MID(C186,1,2))))=VALUE(MID(C186,3,2))),DATE(M186,VALUE(MID(C186,3,2)),VALUE(MID(C186,1,2))),"")),"")</f>
        <v/>
      </c>
    </row>
    <row r="187">
      <c r="A187" s="2" t="n"/>
      <c r="B187" s="2" t="n"/>
      <c r="C187" s="3" t="n"/>
      <c r="D187" s="2" t="n"/>
      <c r="E187" s="4">
        <f>IF(A187="","",5)</f>
        <v/>
      </c>
      <c r="F187" s="2" t="n"/>
      <c r="G187" s="4" t="n"/>
      <c r="H187" s="2" t="n"/>
      <c r="I187" s="2" t="n"/>
      <c r="J187" s="2">
        <f>IF(C187="","",IF(LEN(C187)&lt;&gt;13,"Nema 13 cifara (ima "&amp;LEN(C187)&amp;")",IF(L187="","JMBG sadrži nešto što nije cifra",IF(N187="","Nepostojeći datum rođenja",IF(VALUE(MID(C187,13,1))&lt;&gt;L187,"Pogrešna kontrolna cifra - treba "&amp;L187,"✓ ispravan")))))</f>
        <v/>
      </c>
      <c r="K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L187">
        <f>IF(K187="","",IF(11-MOD(K187,11)&gt;9,0,11-MOD(K187,11)))</f>
        <v/>
      </c>
      <c r="M187">
        <f>IFERROR(IF(LEN(C187)&lt;&gt;13,"",IF(VALUE(MID(C187,5,3))&gt;=800,1000,2000)+VALUE(MID(C187,5,3))),"")</f>
        <v/>
      </c>
      <c r="N187">
        <f>IFERROR(IF(M187="","",IF(AND(DAY(DATE(M187,VALUE(MID(C187,3,2)),VALUE(MID(C187,1,2))))=VALUE(MID(C187,1,2)),MONTH(DATE(M187,VALUE(MID(C187,3,2)),VALUE(MID(C187,1,2))))=VALUE(MID(C187,3,2))),DATE(M187,VALUE(MID(C187,3,2)),VALUE(MID(C187,1,2))),"")),"")</f>
        <v/>
      </c>
    </row>
    <row r="188">
      <c r="A188" s="2" t="n"/>
      <c r="B188" s="2" t="n"/>
      <c r="C188" s="3" t="n"/>
      <c r="D188" s="2" t="n"/>
      <c r="E188" s="4">
        <f>IF(A188="","",5)</f>
        <v/>
      </c>
      <c r="F188" s="2" t="n"/>
      <c r="G188" s="4" t="n"/>
      <c r="H188" s="2" t="n"/>
      <c r="I188" s="2" t="n"/>
      <c r="J188" s="2">
        <f>IF(C188="","",IF(LEN(C188)&lt;&gt;13,"Nema 13 cifara (ima "&amp;LEN(C188)&amp;")",IF(L188="","JMBG sadrži nešto što nije cifra",IF(N188="","Nepostojeći datum rođenja",IF(VALUE(MID(C188,13,1))&lt;&gt;L188,"Pogrešna kontrolna cifra - treba "&amp;L188,"✓ ispravan")))))</f>
        <v/>
      </c>
      <c r="K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L188">
        <f>IF(K188="","",IF(11-MOD(K188,11)&gt;9,0,11-MOD(K188,11)))</f>
        <v/>
      </c>
      <c r="M188">
        <f>IFERROR(IF(LEN(C188)&lt;&gt;13,"",IF(VALUE(MID(C188,5,3))&gt;=800,1000,2000)+VALUE(MID(C188,5,3))),"")</f>
        <v/>
      </c>
      <c r="N188">
        <f>IFERROR(IF(M188="","",IF(AND(DAY(DATE(M188,VALUE(MID(C188,3,2)),VALUE(MID(C188,1,2))))=VALUE(MID(C188,1,2)),MONTH(DATE(M188,VALUE(MID(C188,3,2)),VALUE(MID(C188,1,2))))=VALUE(MID(C188,3,2))),DATE(M188,VALUE(MID(C188,3,2)),VALUE(MID(C188,1,2))),"")),"")</f>
        <v/>
      </c>
    </row>
    <row r="189">
      <c r="A189" s="2" t="n"/>
      <c r="B189" s="2" t="n"/>
      <c r="C189" s="3" t="n"/>
      <c r="D189" s="2" t="n"/>
      <c r="E189" s="4">
        <f>IF(A189="","",5)</f>
        <v/>
      </c>
      <c r="F189" s="2" t="n"/>
      <c r="G189" s="4" t="n"/>
      <c r="H189" s="2" t="n"/>
      <c r="I189" s="2" t="n"/>
      <c r="J189" s="2">
        <f>IF(C189="","",IF(LEN(C189)&lt;&gt;13,"Nema 13 cifara (ima "&amp;LEN(C189)&amp;")",IF(L189="","JMBG sadrži nešto što nije cifra",IF(N189="","Nepostojeći datum rođenja",IF(VALUE(MID(C189,13,1))&lt;&gt;L189,"Pogrešna kontrolna cifra - treba "&amp;L189,"✓ ispravan")))))</f>
        <v/>
      </c>
      <c r="K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L189">
        <f>IF(K189="","",IF(11-MOD(K189,11)&gt;9,0,11-MOD(K189,11)))</f>
        <v/>
      </c>
      <c r="M189">
        <f>IFERROR(IF(LEN(C189)&lt;&gt;13,"",IF(VALUE(MID(C189,5,3))&gt;=800,1000,2000)+VALUE(MID(C189,5,3))),"")</f>
        <v/>
      </c>
      <c r="N189">
        <f>IFERROR(IF(M189="","",IF(AND(DAY(DATE(M189,VALUE(MID(C189,3,2)),VALUE(MID(C189,1,2))))=VALUE(MID(C189,1,2)),MONTH(DATE(M189,VALUE(MID(C189,3,2)),VALUE(MID(C189,1,2))))=VALUE(MID(C189,3,2))),DATE(M189,VALUE(MID(C189,3,2)),VALUE(MID(C189,1,2))),"")),"")</f>
        <v/>
      </c>
    </row>
    <row r="190">
      <c r="A190" s="2" t="n"/>
      <c r="B190" s="2" t="n"/>
      <c r="C190" s="3" t="n"/>
      <c r="D190" s="2" t="n"/>
      <c r="E190" s="4">
        <f>IF(A190="","",5)</f>
        <v/>
      </c>
      <c r="F190" s="2" t="n"/>
      <c r="G190" s="4" t="n"/>
      <c r="H190" s="2" t="n"/>
      <c r="I190" s="2" t="n"/>
      <c r="J190" s="2">
        <f>IF(C190="","",IF(LEN(C190)&lt;&gt;13,"Nema 13 cifara (ima "&amp;LEN(C190)&amp;")",IF(L190="","JMBG sadrži nešto što nije cifra",IF(N190="","Nepostojeći datum rođenja",IF(VALUE(MID(C190,13,1))&lt;&gt;L190,"Pogrešna kontrolna cifra - treba "&amp;L190,"✓ ispravan")))))</f>
        <v/>
      </c>
      <c r="K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L190">
        <f>IF(K190="","",IF(11-MOD(K190,11)&gt;9,0,11-MOD(K190,11)))</f>
        <v/>
      </c>
      <c r="M190">
        <f>IFERROR(IF(LEN(C190)&lt;&gt;13,"",IF(VALUE(MID(C190,5,3))&gt;=800,1000,2000)+VALUE(MID(C190,5,3))),"")</f>
        <v/>
      </c>
      <c r="N190">
        <f>IFERROR(IF(M190="","",IF(AND(DAY(DATE(M190,VALUE(MID(C190,3,2)),VALUE(MID(C190,1,2))))=VALUE(MID(C190,1,2)),MONTH(DATE(M190,VALUE(MID(C190,3,2)),VALUE(MID(C190,1,2))))=VALUE(MID(C190,3,2))),DATE(M190,VALUE(MID(C190,3,2)),VALUE(MID(C190,1,2))),"")),"")</f>
        <v/>
      </c>
    </row>
    <row r="191">
      <c r="A191" s="2" t="n"/>
      <c r="B191" s="2" t="n"/>
      <c r="C191" s="3" t="n"/>
      <c r="D191" s="2" t="n"/>
      <c r="E191" s="4">
        <f>IF(A191="","",5)</f>
        <v/>
      </c>
      <c r="F191" s="2" t="n"/>
      <c r="G191" s="4" t="n"/>
      <c r="H191" s="2" t="n"/>
      <c r="I191" s="2" t="n"/>
      <c r="J191" s="2">
        <f>IF(C191="","",IF(LEN(C191)&lt;&gt;13,"Nema 13 cifara (ima "&amp;LEN(C191)&amp;")",IF(L191="","JMBG sadrži nešto što nije cifra",IF(N191="","Nepostojeći datum rođenja",IF(VALUE(MID(C191,13,1))&lt;&gt;L191,"Pogrešna kontrolna cifra - treba "&amp;L191,"✓ ispravan")))))</f>
        <v/>
      </c>
      <c r="K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L191">
        <f>IF(K191="","",IF(11-MOD(K191,11)&gt;9,0,11-MOD(K191,11)))</f>
        <v/>
      </c>
      <c r="M191">
        <f>IFERROR(IF(LEN(C191)&lt;&gt;13,"",IF(VALUE(MID(C191,5,3))&gt;=800,1000,2000)+VALUE(MID(C191,5,3))),"")</f>
        <v/>
      </c>
      <c r="N191">
        <f>IFERROR(IF(M191="","",IF(AND(DAY(DATE(M191,VALUE(MID(C191,3,2)),VALUE(MID(C191,1,2))))=VALUE(MID(C191,1,2)),MONTH(DATE(M191,VALUE(MID(C191,3,2)),VALUE(MID(C191,1,2))))=VALUE(MID(C191,3,2))),DATE(M191,VALUE(MID(C191,3,2)),VALUE(MID(C191,1,2))),"")),"")</f>
        <v/>
      </c>
    </row>
    <row r="192">
      <c r="A192" s="2" t="n"/>
      <c r="B192" s="2" t="n"/>
      <c r="C192" s="3" t="n"/>
      <c r="D192" s="2" t="n"/>
      <c r="E192" s="4">
        <f>IF(A192="","",5)</f>
        <v/>
      </c>
      <c r="F192" s="2" t="n"/>
      <c r="G192" s="4" t="n"/>
      <c r="H192" s="2" t="n"/>
      <c r="I192" s="2" t="n"/>
      <c r="J192" s="2">
        <f>IF(C192="","",IF(LEN(C192)&lt;&gt;13,"Nema 13 cifara (ima "&amp;LEN(C192)&amp;")",IF(L192="","JMBG sadrži nešto što nije cifra",IF(N192="","Nepostojeći datum rođenja",IF(VALUE(MID(C192,13,1))&lt;&gt;L192,"Pogrešna kontrolna cifra - treba "&amp;L192,"✓ ispravan")))))</f>
        <v/>
      </c>
      <c r="K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L192">
        <f>IF(K192="","",IF(11-MOD(K192,11)&gt;9,0,11-MOD(K192,11)))</f>
        <v/>
      </c>
      <c r="M192">
        <f>IFERROR(IF(LEN(C192)&lt;&gt;13,"",IF(VALUE(MID(C192,5,3))&gt;=800,1000,2000)+VALUE(MID(C192,5,3))),"")</f>
        <v/>
      </c>
      <c r="N192">
        <f>IFERROR(IF(M192="","",IF(AND(DAY(DATE(M192,VALUE(MID(C192,3,2)),VALUE(MID(C192,1,2))))=VALUE(MID(C192,1,2)),MONTH(DATE(M192,VALUE(MID(C192,3,2)),VALUE(MID(C192,1,2))))=VALUE(MID(C192,3,2))),DATE(M192,VALUE(MID(C192,3,2)),VALUE(MID(C192,1,2))),"")),"")</f>
        <v/>
      </c>
    </row>
    <row r="193">
      <c r="A193" s="2" t="n"/>
      <c r="B193" s="2" t="n"/>
      <c r="C193" s="3" t="n"/>
      <c r="D193" s="2" t="n"/>
      <c r="E193" s="4">
        <f>IF(A193="","",5)</f>
        <v/>
      </c>
      <c r="F193" s="2" t="n"/>
      <c r="G193" s="4" t="n"/>
      <c r="H193" s="2" t="n"/>
      <c r="I193" s="2" t="n"/>
      <c r="J193" s="2">
        <f>IF(C193="","",IF(LEN(C193)&lt;&gt;13,"Nema 13 cifara (ima "&amp;LEN(C193)&amp;")",IF(L193="","JMBG sadrži nešto što nije cifra",IF(N193="","Nepostojeći datum rođenja",IF(VALUE(MID(C193,13,1))&lt;&gt;L193,"Pogrešna kontrolna cifra - treba "&amp;L193,"✓ ispravan")))))</f>
        <v/>
      </c>
      <c r="K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L193">
        <f>IF(K193="","",IF(11-MOD(K193,11)&gt;9,0,11-MOD(K193,11)))</f>
        <v/>
      </c>
      <c r="M193">
        <f>IFERROR(IF(LEN(C193)&lt;&gt;13,"",IF(VALUE(MID(C193,5,3))&gt;=800,1000,2000)+VALUE(MID(C193,5,3))),"")</f>
        <v/>
      </c>
      <c r="N193">
        <f>IFERROR(IF(M193="","",IF(AND(DAY(DATE(M193,VALUE(MID(C193,3,2)),VALUE(MID(C193,1,2))))=VALUE(MID(C193,1,2)),MONTH(DATE(M193,VALUE(MID(C193,3,2)),VALUE(MID(C193,1,2))))=VALUE(MID(C193,3,2))),DATE(M193,VALUE(MID(C193,3,2)),VALUE(MID(C193,1,2))),"")),"")</f>
        <v/>
      </c>
    </row>
    <row r="194">
      <c r="A194" s="2" t="n"/>
      <c r="B194" s="2" t="n"/>
      <c r="C194" s="3" t="n"/>
      <c r="D194" s="2" t="n"/>
      <c r="E194" s="4">
        <f>IF(A194="","",5)</f>
        <v/>
      </c>
      <c r="F194" s="2" t="n"/>
      <c r="G194" s="4" t="n"/>
      <c r="H194" s="2" t="n"/>
      <c r="I194" s="2" t="n"/>
      <c r="J194" s="2">
        <f>IF(C194="","",IF(LEN(C194)&lt;&gt;13,"Nema 13 cifara (ima "&amp;LEN(C194)&amp;")",IF(L194="","JMBG sadrži nešto što nije cifra",IF(N194="","Nepostojeći datum rođenja",IF(VALUE(MID(C194,13,1))&lt;&gt;L194,"Pogrešna kontrolna cifra - treba "&amp;L194,"✓ ispravan")))))</f>
        <v/>
      </c>
      <c r="K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L194">
        <f>IF(K194="","",IF(11-MOD(K194,11)&gt;9,0,11-MOD(K194,11)))</f>
        <v/>
      </c>
      <c r="M194">
        <f>IFERROR(IF(LEN(C194)&lt;&gt;13,"",IF(VALUE(MID(C194,5,3))&gt;=800,1000,2000)+VALUE(MID(C194,5,3))),"")</f>
        <v/>
      </c>
      <c r="N194">
        <f>IFERROR(IF(M194="","",IF(AND(DAY(DATE(M194,VALUE(MID(C194,3,2)),VALUE(MID(C194,1,2))))=VALUE(MID(C194,1,2)),MONTH(DATE(M194,VALUE(MID(C194,3,2)),VALUE(MID(C194,1,2))))=VALUE(MID(C194,3,2))),DATE(M194,VALUE(MID(C194,3,2)),VALUE(MID(C194,1,2))),"")),"")</f>
        <v/>
      </c>
    </row>
    <row r="195">
      <c r="A195" s="2" t="n"/>
      <c r="B195" s="2" t="n"/>
      <c r="C195" s="3" t="n"/>
      <c r="D195" s="2" t="n"/>
      <c r="E195" s="4">
        <f>IF(A195="","",5)</f>
        <v/>
      </c>
      <c r="F195" s="2" t="n"/>
      <c r="G195" s="4" t="n"/>
      <c r="H195" s="2" t="n"/>
      <c r="I195" s="2" t="n"/>
      <c r="J195" s="2">
        <f>IF(C195="","",IF(LEN(C195)&lt;&gt;13,"Nema 13 cifara (ima "&amp;LEN(C195)&amp;")",IF(L195="","JMBG sadrži nešto što nije cifra",IF(N195="","Nepostojeći datum rođenja",IF(VALUE(MID(C195,13,1))&lt;&gt;L195,"Pogrešna kontrolna cifra - treba "&amp;L195,"✓ ispravan")))))</f>
        <v/>
      </c>
      <c r="K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L195">
        <f>IF(K195="","",IF(11-MOD(K195,11)&gt;9,0,11-MOD(K195,11)))</f>
        <v/>
      </c>
      <c r="M195">
        <f>IFERROR(IF(LEN(C195)&lt;&gt;13,"",IF(VALUE(MID(C195,5,3))&gt;=800,1000,2000)+VALUE(MID(C195,5,3))),"")</f>
        <v/>
      </c>
      <c r="N195">
        <f>IFERROR(IF(M195="","",IF(AND(DAY(DATE(M195,VALUE(MID(C195,3,2)),VALUE(MID(C195,1,2))))=VALUE(MID(C195,1,2)),MONTH(DATE(M195,VALUE(MID(C195,3,2)),VALUE(MID(C195,1,2))))=VALUE(MID(C195,3,2))),DATE(M195,VALUE(MID(C195,3,2)),VALUE(MID(C195,1,2))),"")),"")</f>
        <v/>
      </c>
    </row>
    <row r="196">
      <c r="A196" s="2" t="n"/>
      <c r="B196" s="2" t="n"/>
      <c r="C196" s="3" t="n"/>
      <c r="D196" s="2" t="n"/>
      <c r="E196" s="4">
        <f>IF(A196="","",5)</f>
        <v/>
      </c>
      <c r="F196" s="2" t="n"/>
      <c r="G196" s="4" t="n"/>
      <c r="H196" s="2" t="n"/>
      <c r="I196" s="2" t="n"/>
      <c r="J196" s="2">
        <f>IF(C196="","",IF(LEN(C196)&lt;&gt;13,"Nema 13 cifara (ima "&amp;LEN(C196)&amp;")",IF(L196="","JMBG sadrži nešto što nije cifra",IF(N196="","Nepostojeći datum rođenja",IF(VALUE(MID(C196,13,1))&lt;&gt;L196,"Pogrešna kontrolna cifra - treba "&amp;L196,"✓ ispravan")))))</f>
        <v/>
      </c>
      <c r="K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L196">
        <f>IF(K196="","",IF(11-MOD(K196,11)&gt;9,0,11-MOD(K196,11)))</f>
        <v/>
      </c>
      <c r="M196">
        <f>IFERROR(IF(LEN(C196)&lt;&gt;13,"",IF(VALUE(MID(C196,5,3))&gt;=800,1000,2000)+VALUE(MID(C196,5,3))),"")</f>
        <v/>
      </c>
      <c r="N196">
        <f>IFERROR(IF(M196="","",IF(AND(DAY(DATE(M196,VALUE(MID(C196,3,2)),VALUE(MID(C196,1,2))))=VALUE(MID(C196,1,2)),MONTH(DATE(M196,VALUE(MID(C196,3,2)),VALUE(MID(C196,1,2))))=VALUE(MID(C196,3,2))),DATE(M196,VALUE(MID(C196,3,2)),VALUE(MID(C196,1,2))),"")),"")</f>
        <v/>
      </c>
    </row>
    <row r="197">
      <c r="A197" s="2" t="n"/>
      <c r="B197" s="2" t="n"/>
      <c r="C197" s="3" t="n"/>
      <c r="D197" s="2" t="n"/>
      <c r="E197" s="4">
        <f>IF(A197="","",5)</f>
        <v/>
      </c>
      <c r="F197" s="2" t="n"/>
      <c r="G197" s="4" t="n"/>
      <c r="H197" s="2" t="n"/>
      <c r="I197" s="2" t="n"/>
      <c r="J197" s="2">
        <f>IF(C197="","",IF(LEN(C197)&lt;&gt;13,"Nema 13 cifara (ima "&amp;LEN(C197)&amp;")",IF(L197="","JMBG sadrži nešto što nije cifra",IF(N197="","Nepostojeći datum rođenja",IF(VALUE(MID(C197,13,1))&lt;&gt;L197,"Pogrešna kontrolna cifra - treba "&amp;L197,"✓ ispravan")))))</f>
        <v/>
      </c>
      <c r="K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L197">
        <f>IF(K197="","",IF(11-MOD(K197,11)&gt;9,0,11-MOD(K197,11)))</f>
        <v/>
      </c>
      <c r="M197">
        <f>IFERROR(IF(LEN(C197)&lt;&gt;13,"",IF(VALUE(MID(C197,5,3))&gt;=800,1000,2000)+VALUE(MID(C197,5,3))),"")</f>
        <v/>
      </c>
      <c r="N197">
        <f>IFERROR(IF(M197="","",IF(AND(DAY(DATE(M197,VALUE(MID(C197,3,2)),VALUE(MID(C197,1,2))))=VALUE(MID(C197,1,2)),MONTH(DATE(M197,VALUE(MID(C197,3,2)),VALUE(MID(C197,1,2))))=VALUE(MID(C197,3,2))),DATE(M197,VALUE(MID(C197,3,2)),VALUE(MID(C197,1,2))),"")),"")</f>
        <v/>
      </c>
    </row>
    <row r="198">
      <c r="A198" s="2" t="n"/>
      <c r="B198" s="2" t="n"/>
      <c r="C198" s="3" t="n"/>
      <c r="D198" s="2" t="n"/>
      <c r="E198" s="4">
        <f>IF(A198="","",5)</f>
        <v/>
      </c>
      <c r="F198" s="2" t="n"/>
      <c r="G198" s="4" t="n"/>
      <c r="H198" s="2" t="n"/>
      <c r="I198" s="2" t="n"/>
      <c r="J198" s="2">
        <f>IF(C198="","",IF(LEN(C198)&lt;&gt;13,"Nema 13 cifara (ima "&amp;LEN(C198)&amp;")",IF(L198="","JMBG sadrži nešto što nije cifra",IF(N198="","Nepostojeći datum rođenja",IF(VALUE(MID(C198,13,1))&lt;&gt;L198,"Pogrešna kontrolna cifra - treba "&amp;L198,"✓ ispravan")))))</f>
        <v/>
      </c>
      <c r="K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L198">
        <f>IF(K198="","",IF(11-MOD(K198,11)&gt;9,0,11-MOD(K198,11)))</f>
        <v/>
      </c>
      <c r="M198">
        <f>IFERROR(IF(LEN(C198)&lt;&gt;13,"",IF(VALUE(MID(C198,5,3))&gt;=800,1000,2000)+VALUE(MID(C198,5,3))),"")</f>
        <v/>
      </c>
      <c r="N198">
        <f>IFERROR(IF(M198="","",IF(AND(DAY(DATE(M198,VALUE(MID(C198,3,2)),VALUE(MID(C198,1,2))))=VALUE(MID(C198,1,2)),MONTH(DATE(M198,VALUE(MID(C198,3,2)),VALUE(MID(C198,1,2))))=VALUE(MID(C198,3,2))),DATE(M198,VALUE(MID(C198,3,2)),VALUE(MID(C198,1,2))),"")),"")</f>
        <v/>
      </c>
    </row>
    <row r="199">
      <c r="A199" s="2" t="n"/>
      <c r="B199" s="2" t="n"/>
      <c r="C199" s="3" t="n"/>
      <c r="D199" s="2" t="n"/>
      <c r="E199" s="4">
        <f>IF(A199="","",5)</f>
        <v/>
      </c>
      <c r="F199" s="2" t="n"/>
      <c r="G199" s="4" t="n"/>
      <c r="H199" s="2" t="n"/>
      <c r="I199" s="2" t="n"/>
      <c r="J199" s="2">
        <f>IF(C199="","",IF(LEN(C199)&lt;&gt;13,"Nema 13 cifara (ima "&amp;LEN(C199)&amp;")",IF(L199="","JMBG sadrži nešto što nije cifra",IF(N199="","Nepostojeći datum rođenja",IF(VALUE(MID(C199,13,1))&lt;&gt;L199,"Pogrešna kontrolna cifra - treba "&amp;L199,"✓ ispravan")))))</f>
        <v/>
      </c>
      <c r="K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L199">
        <f>IF(K199="","",IF(11-MOD(K199,11)&gt;9,0,11-MOD(K199,11)))</f>
        <v/>
      </c>
      <c r="M199">
        <f>IFERROR(IF(LEN(C199)&lt;&gt;13,"",IF(VALUE(MID(C199,5,3))&gt;=800,1000,2000)+VALUE(MID(C199,5,3))),"")</f>
        <v/>
      </c>
      <c r="N199">
        <f>IFERROR(IF(M199="","",IF(AND(DAY(DATE(M199,VALUE(MID(C199,3,2)),VALUE(MID(C199,1,2))))=VALUE(MID(C199,1,2)),MONTH(DATE(M199,VALUE(MID(C199,3,2)),VALUE(MID(C199,1,2))))=VALUE(MID(C199,3,2))),DATE(M199,VALUE(MID(C199,3,2)),VALUE(MID(C199,1,2))),"")),"")</f>
        <v/>
      </c>
    </row>
    <row r="200">
      <c r="A200" s="2" t="n"/>
      <c r="B200" s="2" t="n"/>
      <c r="C200" s="3" t="n"/>
      <c r="D200" s="2" t="n"/>
      <c r="E200" s="4">
        <f>IF(A200="","",5)</f>
        <v/>
      </c>
      <c r="F200" s="2" t="n"/>
      <c r="G200" s="4" t="n"/>
      <c r="H200" s="2" t="n"/>
      <c r="I200" s="2" t="n"/>
      <c r="J200" s="2">
        <f>IF(C200="","",IF(LEN(C200)&lt;&gt;13,"Nema 13 cifara (ima "&amp;LEN(C200)&amp;")",IF(L200="","JMBG sadrži nešto što nije cifra",IF(N200="","Nepostojeći datum rođenja",IF(VALUE(MID(C200,13,1))&lt;&gt;L200,"Pogrešna kontrolna cifra - treba "&amp;L200,"✓ ispravan")))))</f>
        <v/>
      </c>
      <c r="K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L200">
        <f>IF(K200="","",IF(11-MOD(K200,11)&gt;9,0,11-MOD(K200,11)))</f>
        <v/>
      </c>
      <c r="M200">
        <f>IFERROR(IF(LEN(C200)&lt;&gt;13,"",IF(VALUE(MID(C200,5,3))&gt;=800,1000,2000)+VALUE(MID(C200,5,3))),"")</f>
        <v/>
      </c>
      <c r="N200">
        <f>IFERROR(IF(M200="","",IF(AND(DAY(DATE(M200,VALUE(MID(C200,3,2)),VALUE(MID(C200,1,2))))=VALUE(MID(C200,1,2)),MONTH(DATE(M200,VALUE(MID(C200,3,2)),VALUE(MID(C200,1,2))))=VALUE(MID(C200,3,2))),DATE(M200,VALUE(MID(C200,3,2)),VALUE(MID(C200,1,2))),"")),"")</f>
        <v/>
      </c>
    </row>
    <row r="201">
      <c r="A201" s="2" t="n"/>
      <c r="B201" s="2" t="n"/>
      <c r="C201" s="3" t="n"/>
      <c r="D201" s="2" t="n"/>
      <c r="E201" s="4">
        <f>IF(A201="","",5)</f>
        <v/>
      </c>
      <c r="F201" s="2" t="n"/>
      <c r="G201" s="4" t="n"/>
      <c r="H201" s="2" t="n"/>
      <c r="I201" s="2" t="n"/>
      <c r="J201" s="2">
        <f>IF(C201="","",IF(LEN(C201)&lt;&gt;13,"Nema 13 cifara (ima "&amp;LEN(C201)&amp;")",IF(L201="","JMBG sadrži nešto što nije cifra",IF(N201="","Nepostojeći datum rođenja",IF(VALUE(MID(C201,13,1))&lt;&gt;L201,"Pogrešna kontrolna cifra - treba "&amp;L201,"✓ ispravan")))))</f>
        <v/>
      </c>
      <c r="K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L201">
        <f>IF(K201="","",IF(11-MOD(K201,11)&gt;9,0,11-MOD(K201,11)))</f>
        <v/>
      </c>
      <c r="M201">
        <f>IFERROR(IF(LEN(C201)&lt;&gt;13,"",IF(VALUE(MID(C201,5,3))&gt;=800,1000,2000)+VALUE(MID(C201,5,3))),"")</f>
        <v/>
      </c>
      <c r="N201">
        <f>IFERROR(IF(M201="","",IF(AND(DAY(DATE(M201,VALUE(MID(C201,3,2)),VALUE(MID(C201,1,2))))=VALUE(MID(C201,1,2)),MONTH(DATE(M201,VALUE(MID(C201,3,2)),VALUE(MID(C201,1,2))))=VALUE(MID(C201,3,2))),DATE(M201,VALUE(MID(C201,3,2)),VALUE(MID(C201,1,2))),"")),"")</f>
        <v/>
      </c>
    </row>
  </sheetData>
  <autoFilter ref="A1:J201"/>
  <conditionalFormatting sqref="J2:J201">
    <cfRule type="expression" priority="1" dxfId="0" stopIfTrue="1">
      <formula>LEFT($J2,1)="✓"</formula>
    </cfRule>
    <cfRule type="expression" priority="2" dxfId="1">
      <formula>$J2&lt;&gt;""</formula>
    </cfRule>
  </conditionalFormatting>
  <conditionalFormatting sqref="G2:G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F201">
    <cfRule type="expression" priority="7" dxfId="3">
      <formula>$G2="GREŠKA"</formula>
    </cfRule>
    <cfRule type="expression" priority="8" dxfId="2">
      <formula>$G2="OK"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8" customWidth="1" min="11" max="14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Dolazak</t>
        </is>
      </c>
      <c r="E1" s="1" t="inlineStr">
        <is>
          <t>Dana</t>
        </is>
      </c>
      <c r="F1" s="1" t="inlineStr">
        <is>
          <t>E-mail</t>
        </is>
      </c>
      <c r="G1" s="1" t="inlineStr">
        <is>
          <t>STATUS</t>
        </is>
      </c>
      <c r="H1" s="1" t="inlineStr">
        <is>
          <t>RAZLOG</t>
        </is>
      </c>
      <c r="I1" s="1" t="inlineStr">
        <is>
          <t>PDF</t>
        </is>
      </c>
      <c r="J1" s="1" t="inlineStr">
        <is>
          <t>PROVERA JMBG</t>
        </is>
      </c>
      <c r="K1" s="1" t="inlineStr">
        <is>
          <t>zbir</t>
        </is>
      </c>
      <c r="L1" s="1" t="inlineStr">
        <is>
          <t>kontrolna</t>
        </is>
      </c>
      <c r="M1" s="1" t="inlineStr">
        <is>
          <t>godina</t>
        </is>
      </c>
      <c r="N1" s="1" t="inlineStr">
        <is>
          <t>dat.rođ.</t>
        </is>
      </c>
    </row>
    <row r="2">
      <c r="A2" s="2" t="inlineStr">
        <is>
          <t>Marko</t>
        </is>
      </c>
      <c r="B2" s="2" t="inlineStr">
        <is>
          <t>Petrović</t>
        </is>
      </c>
      <c r="C2" s="3" t="inlineStr">
        <is>
          <t>0101990710121</t>
        </is>
      </c>
      <c r="D2" s="2" t="inlineStr">
        <is>
          <t>05.10.2026</t>
        </is>
      </c>
      <c r="E2" s="4">
        <f>IF(A2="","",5)</f>
        <v/>
      </c>
      <c r="F2" s="2" t="n"/>
      <c r="G2" s="4" t="n"/>
      <c r="H2" s="2" t="n"/>
      <c r="I2" s="2" t="n"/>
      <c r="J2" s="2">
        <f>IF(C2="","",IF(LEN(C2)&lt;&gt;13,"Nema 13 cifara (ima "&amp;LEN(C2)&amp;")",IF(L2="","JMBG sadrži nešto što nije cifra",IF(N2="","Nepostojeći datum rođenja",IF(VALUE(MID(C2,13,1))&lt;&gt;L2,"Pogrešna kontrolna cifra - treba "&amp;L2,"✓ ispravan")))))</f>
        <v/>
      </c>
      <c r="K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L2">
        <f>IF(K2="","",IF(11-MOD(K2,11)&gt;9,0,11-MOD(K2,11)))</f>
        <v/>
      </c>
      <c r="M2">
        <f>IFERROR(IF(LEN(C2)&lt;&gt;13,"",IF(VALUE(MID(C2,5,3))&gt;=800,1000,2000)+VALUE(MID(C2,5,3))),"")</f>
        <v/>
      </c>
      <c r="N2">
        <f>IFERROR(IF(M2="","",IF(AND(DAY(DATE(M2,VALUE(MID(C2,3,2)),VALUE(MID(C2,1,2))))=VALUE(MID(C2,1,2)),MONTH(DATE(M2,VALUE(MID(C2,3,2)),VALUE(MID(C2,1,2))))=VALUE(MID(C2,3,2))),DATE(M2,VALUE(MID(C2,3,2)),VALUE(MID(C2,1,2))),"")),"")</f>
        <v/>
      </c>
    </row>
    <row r="3">
      <c r="A3" s="2" t="inlineStr">
        <is>
          <t>Ana</t>
        </is>
      </c>
      <c r="B3" s="2" t="inlineStr">
        <is>
          <t>Jovanović</t>
        </is>
      </c>
      <c r="C3" s="3" t="inlineStr">
        <is>
          <t>2307995755446</t>
        </is>
      </c>
      <c r="D3" s="2" t="inlineStr">
        <is>
          <t>05.10.2026</t>
        </is>
      </c>
      <c r="E3" s="4">
        <f>IF(A3="","",5)</f>
        <v/>
      </c>
      <c r="F3" s="2" t="n"/>
      <c r="G3" s="4" t="n"/>
      <c r="H3" s="2" t="n"/>
      <c r="I3" s="2" t="n"/>
      <c r="J3" s="2">
        <f>IF(C3="","",IF(LEN(C3)&lt;&gt;13,"Nema 13 cifara (ima "&amp;LEN(C3)&amp;")",IF(L3="","JMBG sadrži nešto što nije cifra",IF(N3="","Nepostojeći datum rođenja",IF(VALUE(MID(C3,13,1))&lt;&gt;L3,"Pogrešna kontrolna cifra - treba "&amp;L3,"✓ ispravan")))))</f>
        <v/>
      </c>
      <c r="K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L3">
        <f>IF(K3="","",IF(11-MOD(K3,11)&gt;9,0,11-MOD(K3,11)))</f>
        <v/>
      </c>
      <c r="M3">
        <f>IFERROR(IF(LEN(C3)&lt;&gt;13,"",IF(VALUE(MID(C3,5,3))&gt;=800,1000,2000)+VALUE(MID(C3,5,3))),"")</f>
        <v/>
      </c>
      <c r="N3">
        <f>IFERROR(IF(M3="","",IF(AND(DAY(DATE(M3,VALUE(MID(C3,3,2)),VALUE(MID(C3,1,2))))=VALUE(MID(C3,1,2)),MONTH(DATE(M3,VALUE(MID(C3,3,2)),VALUE(MID(C3,1,2))))=VALUE(MID(C3,3,2))),DATE(M3,VALUE(MID(C3,3,2)),VALUE(MID(C3,1,2))),"")),"")</f>
        <v/>
      </c>
    </row>
    <row r="4">
      <c r="A4" s="2" t="inlineStr">
        <is>
          <t>Jovan</t>
        </is>
      </c>
      <c r="B4" s="2" t="inlineStr">
        <is>
          <t>Ilić</t>
        </is>
      </c>
      <c r="C4" s="3" t="inlineStr">
        <is>
          <t>1503988710011</t>
        </is>
      </c>
      <c r="D4" s="2" t="inlineStr">
        <is>
          <t>06.10.2026</t>
        </is>
      </c>
      <c r="E4" s="4" t="n">
        <v>7</v>
      </c>
      <c r="F4" s="2" t="n"/>
      <c r="G4" s="4" t="n"/>
      <c r="H4" s="2" t="n"/>
      <c r="I4" s="2" t="n"/>
      <c r="J4" s="2">
        <f>IF(C4="","",IF(LEN(C4)&lt;&gt;13,"Nema 13 cifara (ima "&amp;LEN(C4)&amp;")",IF(L4="","JMBG sadrži nešto što nije cifra",IF(N4="","Nepostojeći datum rođenja",IF(VALUE(MID(C4,13,1))&lt;&gt;L4,"Pogrešna kontrolna cifra - treba "&amp;L4,"✓ ispravan")))))</f>
        <v/>
      </c>
      <c r="K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L4">
        <f>IF(K4="","",IF(11-MOD(K4,11)&gt;9,0,11-MOD(K4,11)))</f>
        <v/>
      </c>
      <c r="M4">
        <f>IFERROR(IF(LEN(C4)&lt;&gt;13,"",IF(VALUE(MID(C4,5,3))&gt;=800,1000,2000)+VALUE(MID(C4,5,3))),"")</f>
        <v/>
      </c>
      <c r="N4">
        <f>IFERROR(IF(M4="","",IF(AND(DAY(DATE(M4,VALUE(MID(C4,3,2)),VALUE(MID(C4,1,2))))=VALUE(MID(C4,1,2)),MONTH(DATE(M4,VALUE(MID(C4,3,2)),VALUE(MID(C4,1,2))))=VALUE(MID(C4,3,2))),DATE(M4,VALUE(MID(C4,3,2)),VALUE(MID(C4,1,2))),"")),"")</f>
        <v/>
      </c>
    </row>
    <row r="5">
      <c r="A5" s="2" t="inlineStr">
        <is>
          <t>Nikola</t>
        </is>
      </c>
      <c r="B5" s="2" t="inlineStr">
        <is>
          <t>Đorđević</t>
        </is>
      </c>
      <c r="C5" s="3" t="inlineStr">
        <is>
          <t>1105992700122</t>
        </is>
      </c>
      <c r="D5" s="2" t="inlineStr">
        <is>
          <t>06.10.2026</t>
        </is>
      </c>
      <c r="E5" s="4">
        <f>IF(A5="","",5)</f>
        <v/>
      </c>
      <c r="F5" s="2" t="n"/>
      <c r="G5" s="4" t="n"/>
      <c r="H5" s="2" t="n"/>
      <c r="I5" s="2" t="n"/>
      <c r="J5" s="2">
        <f>IF(C5="","",IF(LEN(C5)&lt;&gt;13,"Nema 13 cifara (ima "&amp;LEN(C5)&amp;")",IF(L5="","JMBG sadrži nešto što nije cifra",IF(N5="","Nepostojeći datum rođenja",IF(VALUE(MID(C5,13,1))&lt;&gt;L5,"Pogrešna kontrolna cifra - treba "&amp;L5,"✓ ispravan")))))</f>
        <v/>
      </c>
      <c r="K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L5">
        <f>IF(K5="","",IF(11-MOD(K5,11)&gt;9,0,11-MOD(K5,11)))</f>
        <v/>
      </c>
      <c r="M5">
        <f>IFERROR(IF(LEN(C5)&lt;&gt;13,"",IF(VALUE(MID(C5,5,3))&gt;=800,1000,2000)+VALUE(MID(C5,5,3))),"")</f>
        <v/>
      </c>
      <c r="N5">
        <f>IFERROR(IF(M5="","",IF(AND(DAY(DATE(M5,VALUE(MID(C5,3,2)),VALUE(MID(C5,1,2))))=VALUE(MID(C5,1,2)),MONTH(DATE(M5,VALUE(MID(C5,3,2)),VALUE(MID(C5,1,2))))=VALUE(MID(C5,3,2))),DATE(M5,VALUE(MID(C5,3,2)),VALUE(MID(C5,1,2))),"")),"")</f>
        <v/>
      </c>
    </row>
    <row r="6">
      <c r="A6" s="2" t="inlineStr">
        <is>
          <t>Milica</t>
        </is>
      </c>
      <c r="B6" s="2" t="inlineStr">
        <is>
          <t>Marković</t>
        </is>
      </c>
      <c r="C6" s="3" t="inlineStr">
        <is>
          <t>2902004715056</t>
        </is>
      </c>
      <c r="D6" s="2" t="inlineStr">
        <is>
          <t>07.10.2026</t>
        </is>
      </c>
      <c r="E6" s="4" t="n">
        <v>10</v>
      </c>
      <c r="F6" s="2" t="n"/>
      <c r="G6" s="4" t="n"/>
      <c r="H6" s="2" t="n"/>
      <c r="I6" s="2" t="n"/>
      <c r="J6" s="2">
        <f>IF(C6="","",IF(LEN(C6)&lt;&gt;13,"Nema 13 cifara (ima "&amp;LEN(C6)&amp;")",IF(L6="","JMBG sadrži nešto što nije cifra",IF(N6="","Nepostojeći datum rođenja",IF(VALUE(MID(C6,13,1))&lt;&gt;L6,"Pogrešna kontrolna cifra - treba "&amp;L6,"✓ ispravan")))))</f>
        <v/>
      </c>
      <c r="K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L6">
        <f>IF(K6="","",IF(11-MOD(K6,11)&gt;9,0,11-MOD(K6,11)))</f>
        <v/>
      </c>
      <c r="M6">
        <f>IFERROR(IF(LEN(C6)&lt;&gt;13,"",IF(VALUE(MID(C6,5,3))&gt;=800,1000,2000)+VALUE(MID(C6,5,3))),"")</f>
        <v/>
      </c>
      <c r="N6">
        <f>IFERROR(IF(M6="","",IF(AND(DAY(DATE(M6,VALUE(MID(C6,3,2)),VALUE(MID(C6,1,2))))=VALUE(MID(C6,1,2)),MONTH(DATE(M6,VALUE(MID(C6,3,2)),VALUE(MID(C6,1,2))))=VALUE(MID(C6,3,2))),DATE(M6,VALUE(MID(C6,3,2)),VALUE(MID(C6,1,2))),"")),"")</f>
        <v/>
      </c>
    </row>
    <row r="7">
      <c r="A7" s="2" t="inlineStr">
        <is>
          <t>Stefan</t>
        </is>
      </c>
      <c r="B7" s="2" t="inlineStr">
        <is>
          <t>Nikolić</t>
        </is>
      </c>
      <c r="C7" s="3" t="inlineStr">
        <is>
          <t>0703007710030</t>
        </is>
      </c>
      <c r="D7" s="2" t="inlineStr">
        <is>
          <t>07.10.2026</t>
        </is>
      </c>
      <c r="E7" s="4">
        <f>IF(A7="","",5)</f>
        <v/>
      </c>
      <c r="F7" s="2" t="n"/>
      <c r="G7" s="4" t="n"/>
      <c r="H7" s="2" t="n"/>
      <c r="I7" s="2" t="n"/>
      <c r="J7" s="2">
        <f>IF(C7="","",IF(LEN(C7)&lt;&gt;13,"Nema 13 cifara (ima "&amp;LEN(C7)&amp;")",IF(L7="","JMBG sadrži nešto što nije cifra",IF(N7="","Nepostojeći datum rođenja",IF(VALUE(MID(C7,13,1))&lt;&gt;L7,"Pogrešna kontrolna cifra - treba "&amp;L7,"✓ ispravan")))))</f>
        <v/>
      </c>
      <c r="K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L7">
        <f>IF(K7="","",IF(11-MOD(K7,11)&gt;9,0,11-MOD(K7,11)))</f>
        <v/>
      </c>
      <c r="M7">
        <f>IFERROR(IF(LEN(C7)&lt;&gt;13,"",IF(VALUE(MID(C7,5,3))&gt;=800,1000,2000)+VALUE(MID(C7,5,3))),"")</f>
        <v/>
      </c>
      <c r="N7">
        <f>IFERROR(IF(M7="","",IF(AND(DAY(DATE(M7,VALUE(MID(C7,3,2)),VALUE(MID(C7,1,2))))=VALUE(MID(C7,1,2)),MONTH(DATE(M7,VALUE(MID(C7,3,2)),VALUE(MID(C7,1,2))))=VALUE(MID(C7,3,2))),DATE(M7,VALUE(MID(C7,3,2)),VALUE(MID(C7,1,2))),"")),"")</f>
        <v/>
      </c>
    </row>
    <row r="8">
      <c r="A8" s="2" t="inlineStr">
        <is>
          <t>Jelena</t>
        </is>
      </c>
      <c r="B8" s="2" t="inlineStr">
        <is>
          <t>Simić</t>
        </is>
      </c>
      <c r="C8" s="3" t="inlineStr">
        <is>
          <t>306978755013</t>
        </is>
      </c>
      <c r="D8" s="2" t="inlineStr">
        <is>
          <t>08.10.2026</t>
        </is>
      </c>
      <c r="E8" s="4">
        <f>IF(A8="","",5)</f>
        <v/>
      </c>
      <c r="F8" s="2" t="n"/>
      <c r="G8" s="4" t="n"/>
      <c r="H8" s="2" t="n"/>
      <c r="I8" s="2" t="n"/>
      <c r="J8" s="2">
        <f>IF(C8="","",IF(LEN(C8)&lt;&gt;13,"Nema 13 cifara (ima "&amp;LEN(C8)&amp;")",IF(L8="","JMBG sadrži nešto što nije cifra",IF(N8="","Nepostojeći datum rođenja",IF(VALUE(MID(C8,13,1))&lt;&gt;L8,"Pogrešna kontrolna cifra - treba "&amp;L8,"✓ ispravan")))))</f>
        <v/>
      </c>
      <c r="K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L8">
        <f>IF(K8="","",IF(11-MOD(K8,11)&gt;9,0,11-MOD(K8,11)))</f>
        <v/>
      </c>
      <c r="M8">
        <f>IFERROR(IF(LEN(C8)&lt;&gt;13,"",IF(VALUE(MID(C8,5,3))&gt;=800,1000,2000)+VALUE(MID(C8,5,3))),"")</f>
        <v/>
      </c>
      <c r="N8">
        <f>IFERROR(IF(M8="","",IF(AND(DAY(DATE(M8,VALUE(MID(C8,3,2)),VALUE(MID(C8,1,2))))=VALUE(MID(C8,1,2)),MONTH(DATE(M8,VALUE(MID(C8,3,2)),VALUE(MID(C8,1,2))))=VALUE(MID(C8,3,2))),DATE(M8,VALUE(MID(C8,3,2)),VALUE(MID(C8,1,2))),"")),"")</f>
        <v/>
      </c>
    </row>
    <row r="9">
      <c r="A9" s="2" t="n"/>
      <c r="B9" s="2" t="n"/>
      <c r="C9" s="3" t="n"/>
      <c r="D9" s="2" t="n"/>
      <c r="E9" s="4">
        <f>IF(A9="","",5)</f>
        <v/>
      </c>
      <c r="F9" s="2" t="n"/>
      <c r="G9" s="4" t="n"/>
      <c r="H9" s="2" t="n"/>
      <c r="I9" s="2" t="n"/>
      <c r="J9" s="2">
        <f>IF(C9="","",IF(LEN(C9)&lt;&gt;13,"Nema 13 cifara (ima "&amp;LEN(C9)&amp;")",IF(L9="","JMBG sadrži nešto što nije cifra",IF(N9="","Nepostojeći datum rođenja",IF(VALUE(MID(C9,13,1))&lt;&gt;L9,"Pogrešna kontrolna cifra - treba "&amp;L9,"✓ ispravan")))))</f>
        <v/>
      </c>
      <c r="K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L9">
        <f>IF(K9="","",IF(11-MOD(K9,11)&gt;9,0,11-MOD(K9,11)))</f>
        <v/>
      </c>
      <c r="M9">
        <f>IFERROR(IF(LEN(C9)&lt;&gt;13,"",IF(VALUE(MID(C9,5,3))&gt;=800,1000,2000)+VALUE(MID(C9,5,3))),"")</f>
        <v/>
      </c>
      <c r="N9">
        <f>IFERROR(IF(M9="","",IF(AND(DAY(DATE(M9,VALUE(MID(C9,3,2)),VALUE(MID(C9,1,2))))=VALUE(MID(C9,1,2)),MONTH(DATE(M9,VALUE(MID(C9,3,2)),VALUE(MID(C9,1,2))))=VALUE(MID(C9,3,2))),DATE(M9,VALUE(MID(C9,3,2)),VALUE(MID(C9,1,2))),"")),"")</f>
        <v/>
      </c>
    </row>
    <row r="10">
      <c r="A10" s="2" t="n"/>
      <c r="B10" s="2" t="n"/>
      <c r="C10" s="3" t="n"/>
      <c r="D10" s="2" t="n"/>
      <c r="E10" s="4">
        <f>IF(A10="","",5)</f>
        <v/>
      </c>
      <c r="F10" s="2" t="n"/>
      <c r="G10" s="4" t="n"/>
      <c r="H10" s="2" t="n"/>
      <c r="I10" s="2" t="n"/>
      <c r="J10" s="2">
        <f>IF(C10="","",IF(LEN(C10)&lt;&gt;13,"Nema 13 cifara (ima "&amp;LEN(C10)&amp;")",IF(L10="","JMBG sadrži nešto što nije cifra",IF(N10="","Nepostojeći datum rođenja",IF(VALUE(MID(C10,13,1))&lt;&gt;L10,"Pogrešna kontrolna cifra - treba "&amp;L10,"✓ ispravan")))))</f>
        <v/>
      </c>
      <c r="K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L10">
        <f>IF(K10="","",IF(11-MOD(K10,11)&gt;9,0,11-MOD(K10,11)))</f>
        <v/>
      </c>
      <c r="M10">
        <f>IFERROR(IF(LEN(C10)&lt;&gt;13,"",IF(VALUE(MID(C10,5,3))&gt;=800,1000,2000)+VALUE(MID(C10,5,3))),"")</f>
        <v/>
      </c>
      <c r="N10">
        <f>IFERROR(IF(M10="","",IF(AND(DAY(DATE(M10,VALUE(MID(C10,3,2)),VALUE(MID(C10,1,2))))=VALUE(MID(C10,1,2)),MONTH(DATE(M10,VALUE(MID(C10,3,2)),VALUE(MID(C10,1,2))))=VALUE(MID(C10,3,2))),DATE(M10,VALUE(MID(C10,3,2)),VALUE(MID(C10,1,2))),"")),"")</f>
        <v/>
      </c>
    </row>
    <row r="11">
      <c r="A11" s="2" t="n"/>
      <c r="B11" s="2" t="n"/>
      <c r="C11" s="3" t="n"/>
      <c r="D11" s="2" t="n"/>
      <c r="E11" s="4">
        <f>IF(A11="","",5)</f>
        <v/>
      </c>
      <c r="F11" s="2" t="n"/>
      <c r="G11" s="4" t="n"/>
      <c r="H11" s="2" t="n"/>
      <c r="I11" s="2" t="n"/>
      <c r="J11" s="2">
        <f>IF(C11="","",IF(LEN(C11)&lt;&gt;13,"Nema 13 cifara (ima "&amp;LEN(C11)&amp;")",IF(L11="","JMBG sadrži nešto što nije cifra",IF(N11="","Nepostojeći datum rođenja",IF(VALUE(MID(C11,13,1))&lt;&gt;L11,"Pogrešna kontrolna cifra - treba "&amp;L11,"✓ ispravan")))))</f>
        <v/>
      </c>
      <c r="K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L11">
        <f>IF(K11="","",IF(11-MOD(K11,11)&gt;9,0,11-MOD(K11,11)))</f>
        <v/>
      </c>
      <c r="M11">
        <f>IFERROR(IF(LEN(C11)&lt;&gt;13,"",IF(VALUE(MID(C11,5,3))&gt;=800,1000,2000)+VALUE(MID(C11,5,3))),"")</f>
        <v/>
      </c>
      <c r="N11">
        <f>IFERROR(IF(M11="","",IF(AND(DAY(DATE(M11,VALUE(MID(C11,3,2)),VALUE(MID(C11,1,2))))=VALUE(MID(C11,1,2)),MONTH(DATE(M11,VALUE(MID(C11,3,2)),VALUE(MID(C11,1,2))))=VALUE(MID(C11,3,2))),DATE(M11,VALUE(MID(C11,3,2)),VALUE(MID(C11,1,2))),"")),"")</f>
        <v/>
      </c>
    </row>
    <row r="12">
      <c r="A12" s="2" t="n"/>
      <c r="B12" s="2" t="n"/>
      <c r="C12" s="3" t="n"/>
      <c r="D12" s="2" t="n"/>
      <c r="E12" s="4">
        <f>IF(A12="","",5)</f>
        <v/>
      </c>
      <c r="F12" s="2" t="n"/>
      <c r="G12" s="4" t="n"/>
      <c r="H12" s="2" t="n"/>
      <c r="I12" s="2" t="n"/>
      <c r="J12" s="2">
        <f>IF(C12="","",IF(LEN(C12)&lt;&gt;13,"Nema 13 cifara (ima "&amp;LEN(C12)&amp;")",IF(L12="","JMBG sadrži nešto što nije cifra",IF(N12="","Nepostojeći datum rođenja",IF(VALUE(MID(C12,13,1))&lt;&gt;L12,"Pogrešna kontrolna cifra - treba "&amp;L12,"✓ ispravan")))))</f>
        <v/>
      </c>
      <c r="K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L12">
        <f>IF(K12="","",IF(11-MOD(K12,11)&gt;9,0,11-MOD(K12,11)))</f>
        <v/>
      </c>
      <c r="M12">
        <f>IFERROR(IF(LEN(C12)&lt;&gt;13,"",IF(VALUE(MID(C12,5,3))&gt;=800,1000,2000)+VALUE(MID(C12,5,3))),"")</f>
        <v/>
      </c>
      <c r="N12">
        <f>IFERROR(IF(M12="","",IF(AND(DAY(DATE(M12,VALUE(MID(C12,3,2)),VALUE(MID(C12,1,2))))=VALUE(MID(C12,1,2)),MONTH(DATE(M12,VALUE(MID(C12,3,2)),VALUE(MID(C12,1,2))))=VALUE(MID(C12,3,2))),DATE(M12,VALUE(MID(C12,3,2)),VALUE(MID(C12,1,2))),"")),"")</f>
        <v/>
      </c>
    </row>
    <row r="13">
      <c r="A13" s="2" t="n"/>
      <c r="B13" s="2" t="n"/>
      <c r="C13" s="3" t="n"/>
      <c r="D13" s="2" t="n"/>
      <c r="E13" s="4">
        <f>IF(A13="","",5)</f>
        <v/>
      </c>
      <c r="F13" s="2" t="n"/>
      <c r="G13" s="4" t="n"/>
      <c r="H13" s="2" t="n"/>
      <c r="I13" s="2" t="n"/>
      <c r="J13" s="2">
        <f>IF(C13="","",IF(LEN(C13)&lt;&gt;13,"Nema 13 cifara (ima "&amp;LEN(C13)&amp;")",IF(L13="","JMBG sadrži nešto što nije cifra",IF(N13="","Nepostojeći datum rođenja",IF(VALUE(MID(C13,13,1))&lt;&gt;L13,"Pogrešna kontrolna cifra - treba "&amp;L13,"✓ ispravan")))))</f>
        <v/>
      </c>
      <c r="K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L13">
        <f>IF(K13="","",IF(11-MOD(K13,11)&gt;9,0,11-MOD(K13,11)))</f>
        <v/>
      </c>
      <c r="M13">
        <f>IFERROR(IF(LEN(C13)&lt;&gt;13,"",IF(VALUE(MID(C13,5,3))&gt;=800,1000,2000)+VALUE(MID(C13,5,3))),"")</f>
        <v/>
      </c>
      <c r="N13">
        <f>IFERROR(IF(M13="","",IF(AND(DAY(DATE(M13,VALUE(MID(C13,3,2)),VALUE(MID(C13,1,2))))=VALUE(MID(C13,1,2)),MONTH(DATE(M13,VALUE(MID(C13,3,2)),VALUE(MID(C13,1,2))))=VALUE(MID(C13,3,2))),DATE(M13,VALUE(MID(C13,3,2)),VALUE(MID(C13,1,2))),"")),"")</f>
        <v/>
      </c>
    </row>
    <row r="14">
      <c r="A14" s="2" t="n"/>
      <c r="B14" s="2" t="n"/>
      <c r="C14" s="3" t="n"/>
      <c r="D14" s="2" t="n"/>
      <c r="E14" s="4">
        <f>IF(A14="","",5)</f>
        <v/>
      </c>
      <c r="F14" s="2" t="n"/>
      <c r="G14" s="4" t="n"/>
      <c r="H14" s="2" t="n"/>
      <c r="I14" s="2" t="n"/>
      <c r="J14" s="2">
        <f>IF(C14="","",IF(LEN(C14)&lt;&gt;13,"Nema 13 cifara (ima "&amp;LEN(C14)&amp;")",IF(L14="","JMBG sadrži nešto što nije cifra",IF(N14="","Nepostojeći datum rođenja",IF(VALUE(MID(C14,13,1))&lt;&gt;L14,"Pogrešna kontrolna cifra - treba "&amp;L14,"✓ ispravan")))))</f>
        <v/>
      </c>
      <c r="K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L14">
        <f>IF(K14="","",IF(11-MOD(K14,11)&gt;9,0,11-MOD(K14,11)))</f>
        <v/>
      </c>
      <c r="M14">
        <f>IFERROR(IF(LEN(C14)&lt;&gt;13,"",IF(VALUE(MID(C14,5,3))&gt;=800,1000,2000)+VALUE(MID(C14,5,3))),"")</f>
        <v/>
      </c>
      <c r="N14">
        <f>IFERROR(IF(M14="","",IF(AND(DAY(DATE(M14,VALUE(MID(C14,3,2)),VALUE(MID(C14,1,2))))=VALUE(MID(C14,1,2)),MONTH(DATE(M14,VALUE(MID(C14,3,2)),VALUE(MID(C14,1,2))))=VALUE(MID(C14,3,2))),DATE(M14,VALUE(MID(C14,3,2)),VALUE(MID(C14,1,2))),"")),"")</f>
        <v/>
      </c>
    </row>
    <row r="15">
      <c r="A15" s="2" t="n"/>
      <c r="B15" s="2" t="n"/>
      <c r="C15" s="3" t="n"/>
      <c r="D15" s="2" t="n"/>
      <c r="E15" s="4">
        <f>IF(A15="","",5)</f>
        <v/>
      </c>
      <c r="F15" s="2" t="n"/>
      <c r="G15" s="4" t="n"/>
      <c r="H15" s="2" t="n"/>
      <c r="I15" s="2" t="n"/>
      <c r="J15" s="2">
        <f>IF(C15="","",IF(LEN(C15)&lt;&gt;13,"Nema 13 cifara (ima "&amp;LEN(C15)&amp;")",IF(L15="","JMBG sadrži nešto što nije cifra",IF(N15="","Nepostojeći datum rođenja",IF(VALUE(MID(C15,13,1))&lt;&gt;L15,"Pogrešna kontrolna cifra - treba "&amp;L15,"✓ ispravan")))))</f>
        <v/>
      </c>
      <c r="K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L15">
        <f>IF(K15="","",IF(11-MOD(K15,11)&gt;9,0,11-MOD(K15,11)))</f>
        <v/>
      </c>
      <c r="M15">
        <f>IFERROR(IF(LEN(C15)&lt;&gt;13,"",IF(VALUE(MID(C15,5,3))&gt;=800,1000,2000)+VALUE(MID(C15,5,3))),"")</f>
        <v/>
      </c>
      <c r="N15">
        <f>IFERROR(IF(M15="","",IF(AND(DAY(DATE(M15,VALUE(MID(C15,3,2)),VALUE(MID(C15,1,2))))=VALUE(MID(C15,1,2)),MONTH(DATE(M15,VALUE(MID(C15,3,2)),VALUE(MID(C15,1,2))))=VALUE(MID(C15,3,2))),DATE(M15,VALUE(MID(C15,3,2)),VALUE(MID(C15,1,2))),"")),"")</f>
        <v/>
      </c>
    </row>
    <row r="16">
      <c r="A16" s="2" t="n"/>
      <c r="B16" s="2" t="n"/>
      <c r="C16" s="3" t="n"/>
      <c r="D16" s="2" t="n"/>
      <c r="E16" s="4">
        <f>IF(A16="","",5)</f>
        <v/>
      </c>
      <c r="F16" s="2" t="n"/>
      <c r="G16" s="4" t="n"/>
      <c r="H16" s="2" t="n"/>
      <c r="I16" s="2" t="n"/>
      <c r="J16" s="2">
        <f>IF(C16="","",IF(LEN(C16)&lt;&gt;13,"Nema 13 cifara (ima "&amp;LEN(C16)&amp;")",IF(L16="","JMBG sadrži nešto što nije cifra",IF(N16="","Nepostojeći datum rođenja",IF(VALUE(MID(C16,13,1))&lt;&gt;L16,"Pogrešna kontrolna cifra - treba "&amp;L16,"✓ ispravan")))))</f>
        <v/>
      </c>
      <c r="K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L16">
        <f>IF(K16="","",IF(11-MOD(K16,11)&gt;9,0,11-MOD(K16,11)))</f>
        <v/>
      </c>
      <c r="M16">
        <f>IFERROR(IF(LEN(C16)&lt;&gt;13,"",IF(VALUE(MID(C16,5,3))&gt;=800,1000,2000)+VALUE(MID(C16,5,3))),"")</f>
        <v/>
      </c>
      <c r="N16">
        <f>IFERROR(IF(M16="","",IF(AND(DAY(DATE(M16,VALUE(MID(C16,3,2)),VALUE(MID(C16,1,2))))=VALUE(MID(C16,1,2)),MONTH(DATE(M16,VALUE(MID(C16,3,2)),VALUE(MID(C16,1,2))))=VALUE(MID(C16,3,2))),DATE(M16,VALUE(MID(C16,3,2)),VALUE(MID(C16,1,2))),"")),"")</f>
        <v/>
      </c>
    </row>
    <row r="17">
      <c r="A17" s="2" t="n"/>
      <c r="B17" s="2" t="n"/>
      <c r="C17" s="3" t="n"/>
      <c r="D17" s="2" t="n"/>
      <c r="E17" s="4">
        <f>IF(A17="","",5)</f>
        <v/>
      </c>
      <c r="F17" s="2" t="n"/>
      <c r="G17" s="4" t="n"/>
      <c r="H17" s="2" t="n"/>
      <c r="I17" s="2" t="n"/>
      <c r="J17" s="2">
        <f>IF(C17="","",IF(LEN(C17)&lt;&gt;13,"Nema 13 cifara (ima "&amp;LEN(C17)&amp;")",IF(L17="","JMBG sadrži nešto što nije cifra",IF(N17="","Nepostojeći datum rođenja",IF(VALUE(MID(C17,13,1))&lt;&gt;L17,"Pogrešna kontrolna cifra - treba "&amp;L17,"✓ ispravan")))))</f>
        <v/>
      </c>
      <c r="K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L17">
        <f>IF(K17="","",IF(11-MOD(K17,11)&gt;9,0,11-MOD(K17,11)))</f>
        <v/>
      </c>
      <c r="M17">
        <f>IFERROR(IF(LEN(C17)&lt;&gt;13,"",IF(VALUE(MID(C17,5,3))&gt;=800,1000,2000)+VALUE(MID(C17,5,3))),"")</f>
        <v/>
      </c>
      <c r="N17">
        <f>IFERROR(IF(M17="","",IF(AND(DAY(DATE(M17,VALUE(MID(C17,3,2)),VALUE(MID(C17,1,2))))=VALUE(MID(C17,1,2)),MONTH(DATE(M17,VALUE(MID(C17,3,2)),VALUE(MID(C17,1,2))))=VALUE(MID(C17,3,2))),DATE(M17,VALUE(MID(C17,3,2)),VALUE(MID(C17,1,2))),"")),"")</f>
        <v/>
      </c>
    </row>
    <row r="18">
      <c r="A18" s="2" t="n"/>
      <c r="B18" s="2" t="n"/>
      <c r="C18" s="3" t="n"/>
      <c r="D18" s="2" t="n"/>
      <c r="E18" s="4">
        <f>IF(A18="","",5)</f>
        <v/>
      </c>
      <c r="F18" s="2" t="n"/>
      <c r="G18" s="4" t="n"/>
      <c r="H18" s="2" t="n"/>
      <c r="I18" s="2" t="n"/>
      <c r="J18" s="2">
        <f>IF(C18="","",IF(LEN(C18)&lt;&gt;13,"Nema 13 cifara (ima "&amp;LEN(C18)&amp;")",IF(L18="","JMBG sadrži nešto što nije cifra",IF(N18="","Nepostojeći datum rođenja",IF(VALUE(MID(C18,13,1))&lt;&gt;L18,"Pogrešna kontrolna cifra - treba "&amp;L18,"✓ ispravan")))))</f>
        <v/>
      </c>
      <c r="K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L18">
        <f>IF(K18="","",IF(11-MOD(K18,11)&gt;9,0,11-MOD(K18,11)))</f>
        <v/>
      </c>
      <c r="M18">
        <f>IFERROR(IF(LEN(C18)&lt;&gt;13,"",IF(VALUE(MID(C18,5,3))&gt;=800,1000,2000)+VALUE(MID(C18,5,3))),"")</f>
        <v/>
      </c>
      <c r="N18">
        <f>IFERROR(IF(M18="","",IF(AND(DAY(DATE(M18,VALUE(MID(C18,3,2)),VALUE(MID(C18,1,2))))=VALUE(MID(C18,1,2)),MONTH(DATE(M18,VALUE(MID(C18,3,2)),VALUE(MID(C18,1,2))))=VALUE(MID(C18,3,2))),DATE(M18,VALUE(MID(C18,3,2)),VALUE(MID(C18,1,2))),"")),"")</f>
        <v/>
      </c>
    </row>
    <row r="19">
      <c r="A19" s="2" t="n"/>
      <c r="B19" s="2" t="n"/>
      <c r="C19" s="3" t="n"/>
      <c r="D19" s="2" t="n"/>
      <c r="E19" s="4">
        <f>IF(A19="","",5)</f>
        <v/>
      </c>
      <c r="F19" s="2" t="n"/>
      <c r="G19" s="4" t="n"/>
      <c r="H19" s="2" t="n"/>
      <c r="I19" s="2" t="n"/>
      <c r="J19" s="2">
        <f>IF(C19="","",IF(LEN(C19)&lt;&gt;13,"Nema 13 cifara (ima "&amp;LEN(C19)&amp;")",IF(L19="","JMBG sadrži nešto što nije cifra",IF(N19="","Nepostojeći datum rođenja",IF(VALUE(MID(C19,13,1))&lt;&gt;L19,"Pogrešna kontrolna cifra - treba "&amp;L19,"✓ ispravan")))))</f>
        <v/>
      </c>
      <c r="K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L19">
        <f>IF(K19="","",IF(11-MOD(K19,11)&gt;9,0,11-MOD(K19,11)))</f>
        <v/>
      </c>
      <c r="M19">
        <f>IFERROR(IF(LEN(C19)&lt;&gt;13,"",IF(VALUE(MID(C19,5,3))&gt;=800,1000,2000)+VALUE(MID(C19,5,3))),"")</f>
        <v/>
      </c>
      <c r="N19">
        <f>IFERROR(IF(M19="","",IF(AND(DAY(DATE(M19,VALUE(MID(C19,3,2)),VALUE(MID(C19,1,2))))=VALUE(MID(C19,1,2)),MONTH(DATE(M19,VALUE(MID(C19,3,2)),VALUE(MID(C19,1,2))))=VALUE(MID(C19,3,2))),DATE(M19,VALUE(MID(C19,3,2)),VALUE(MID(C19,1,2))),"")),"")</f>
        <v/>
      </c>
    </row>
    <row r="20">
      <c r="A20" s="2" t="n"/>
      <c r="B20" s="2" t="n"/>
      <c r="C20" s="3" t="n"/>
      <c r="D20" s="2" t="n"/>
      <c r="E20" s="4">
        <f>IF(A20="","",5)</f>
        <v/>
      </c>
      <c r="F20" s="2" t="n"/>
      <c r="G20" s="4" t="n"/>
      <c r="H20" s="2" t="n"/>
      <c r="I20" s="2" t="n"/>
      <c r="J20" s="2">
        <f>IF(C20="","",IF(LEN(C20)&lt;&gt;13,"Nema 13 cifara (ima "&amp;LEN(C20)&amp;")",IF(L20="","JMBG sadrži nešto što nije cifra",IF(N20="","Nepostojeći datum rođenja",IF(VALUE(MID(C20,13,1))&lt;&gt;L20,"Pogrešna kontrolna cifra - treba "&amp;L20,"✓ ispravan")))))</f>
        <v/>
      </c>
      <c r="K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L20">
        <f>IF(K20="","",IF(11-MOD(K20,11)&gt;9,0,11-MOD(K20,11)))</f>
        <v/>
      </c>
      <c r="M20">
        <f>IFERROR(IF(LEN(C20)&lt;&gt;13,"",IF(VALUE(MID(C20,5,3))&gt;=800,1000,2000)+VALUE(MID(C20,5,3))),"")</f>
        <v/>
      </c>
      <c r="N20">
        <f>IFERROR(IF(M20="","",IF(AND(DAY(DATE(M20,VALUE(MID(C20,3,2)),VALUE(MID(C20,1,2))))=VALUE(MID(C20,1,2)),MONTH(DATE(M20,VALUE(MID(C20,3,2)),VALUE(MID(C20,1,2))))=VALUE(MID(C20,3,2))),DATE(M20,VALUE(MID(C20,3,2)),VALUE(MID(C20,1,2))),"")),"")</f>
        <v/>
      </c>
    </row>
    <row r="21">
      <c r="A21" s="2" t="n"/>
      <c r="B21" s="2" t="n"/>
      <c r="C21" s="3" t="n"/>
      <c r="D21" s="2" t="n"/>
      <c r="E21" s="4">
        <f>IF(A21="","",5)</f>
        <v/>
      </c>
      <c r="F21" s="2" t="n"/>
      <c r="G21" s="4" t="n"/>
      <c r="H21" s="2" t="n"/>
      <c r="I21" s="2" t="n"/>
      <c r="J21" s="2">
        <f>IF(C21="","",IF(LEN(C21)&lt;&gt;13,"Nema 13 cifara (ima "&amp;LEN(C21)&amp;")",IF(L21="","JMBG sadrži nešto što nije cifra",IF(N21="","Nepostojeći datum rođenja",IF(VALUE(MID(C21,13,1))&lt;&gt;L21,"Pogrešna kontrolna cifra - treba "&amp;L21,"✓ ispravan")))))</f>
        <v/>
      </c>
      <c r="K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L21">
        <f>IF(K21="","",IF(11-MOD(K21,11)&gt;9,0,11-MOD(K21,11)))</f>
        <v/>
      </c>
      <c r="M21">
        <f>IFERROR(IF(LEN(C21)&lt;&gt;13,"",IF(VALUE(MID(C21,5,3))&gt;=800,1000,2000)+VALUE(MID(C21,5,3))),"")</f>
        <v/>
      </c>
      <c r="N21">
        <f>IFERROR(IF(M21="","",IF(AND(DAY(DATE(M21,VALUE(MID(C21,3,2)),VALUE(MID(C21,1,2))))=VALUE(MID(C21,1,2)),MONTH(DATE(M21,VALUE(MID(C21,3,2)),VALUE(MID(C21,1,2))))=VALUE(MID(C21,3,2))),DATE(M21,VALUE(MID(C21,3,2)),VALUE(MID(C21,1,2))),"")),"")</f>
        <v/>
      </c>
    </row>
    <row r="22">
      <c r="A22" s="2" t="n"/>
      <c r="B22" s="2" t="n"/>
      <c r="C22" s="3" t="n"/>
      <c r="D22" s="2" t="n"/>
      <c r="E22" s="4">
        <f>IF(A22="","",5)</f>
        <v/>
      </c>
      <c r="F22" s="2" t="n"/>
      <c r="G22" s="4" t="n"/>
      <c r="H22" s="2" t="n"/>
      <c r="I22" s="2" t="n"/>
      <c r="J22" s="2">
        <f>IF(C22="","",IF(LEN(C22)&lt;&gt;13,"Nema 13 cifara (ima "&amp;LEN(C22)&amp;")",IF(L22="","JMBG sadrži nešto što nije cifra",IF(N22="","Nepostojeći datum rođenja",IF(VALUE(MID(C22,13,1))&lt;&gt;L22,"Pogrešna kontrolna cifra - treba "&amp;L22,"✓ ispravan")))))</f>
        <v/>
      </c>
      <c r="K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L22">
        <f>IF(K22="","",IF(11-MOD(K22,11)&gt;9,0,11-MOD(K22,11)))</f>
        <v/>
      </c>
      <c r="M22">
        <f>IFERROR(IF(LEN(C22)&lt;&gt;13,"",IF(VALUE(MID(C22,5,3))&gt;=800,1000,2000)+VALUE(MID(C22,5,3))),"")</f>
        <v/>
      </c>
      <c r="N22">
        <f>IFERROR(IF(M22="","",IF(AND(DAY(DATE(M22,VALUE(MID(C22,3,2)),VALUE(MID(C22,1,2))))=VALUE(MID(C22,1,2)),MONTH(DATE(M22,VALUE(MID(C22,3,2)),VALUE(MID(C22,1,2))))=VALUE(MID(C22,3,2))),DATE(M22,VALUE(MID(C22,3,2)),VALUE(MID(C22,1,2))),"")),"")</f>
        <v/>
      </c>
    </row>
    <row r="23">
      <c r="A23" s="2" t="n"/>
      <c r="B23" s="2" t="n"/>
      <c r="C23" s="3" t="n"/>
      <c r="D23" s="2" t="n"/>
      <c r="E23" s="4">
        <f>IF(A23="","",5)</f>
        <v/>
      </c>
      <c r="F23" s="2" t="n"/>
      <c r="G23" s="4" t="n"/>
      <c r="H23" s="2" t="n"/>
      <c r="I23" s="2" t="n"/>
      <c r="J23" s="2">
        <f>IF(C23="","",IF(LEN(C23)&lt;&gt;13,"Nema 13 cifara (ima "&amp;LEN(C23)&amp;")",IF(L23="","JMBG sadrži nešto što nije cifra",IF(N23="","Nepostojeći datum rođenja",IF(VALUE(MID(C23,13,1))&lt;&gt;L23,"Pogrešna kontrolna cifra - treba "&amp;L23,"✓ ispravan")))))</f>
        <v/>
      </c>
      <c r="K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L23">
        <f>IF(K23="","",IF(11-MOD(K23,11)&gt;9,0,11-MOD(K23,11)))</f>
        <v/>
      </c>
      <c r="M23">
        <f>IFERROR(IF(LEN(C23)&lt;&gt;13,"",IF(VALUE(MID(C23,5,3))&gt;=800,1000,2000)+VALUE(MID(C23,5,3))),"")</f>
        <v/>
      </c>
      <c r="N23">
        <f>IFERROR(IF(M23="","",IF(AND(DAY(DATE(M23,VALUE(MID(C23,3,2)),VALUE(MID(C23,1,2))))=VALUE(MID(C23,1,2)),MONTH(DATE(M23,VALUE(MID(C23,3,2)),VALUE(MID(C23,1,2))))=VALUE(MID(C23,3,2))),DATE(M23,VALUE(MID(C23,3,2)),VALUE(MID(C23,1,2))),"")),"")</f>
        <v/>
      </c>
    </row>
    <row r="24">
      <c r="A24" s="2" t="n"/>
      <c r="B24" s="2" t="n"/>
      <c r="C24" s="3" t="n"/>
      <c r="D24" s="2" t="n"/>
      <c r="E24" s="4">
        <f>IF(A24="","",5)</f>
        <v/>
      </c>
      <c r="F24" s="2" t="n"/>
      <c r="G24" s="4" t="n"/>
      <c r="H24" s="2" t="n"/>
      <c r="I24" s="2" t="n"/>
      <c r="J24" s="2">
        <f>IF(C24="","",IF(LEN(C24)&lt;&gt;13,"Nema 13 cifara (ima "&amp;LEN(C24)&amp;")",IF(L24="","JMBG sadrži nešto što nije cifra",IF(N24="","Nepostojeći datum rođenja",IF(VALUE(MID(C24,13,1))&lt;&gt;L24,"Pogrešna kontrolna cifra - treba "&amp;L24,"✓ ispravan")))))</f>
        <v/>
      </c>
      <c r="K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L24">
        <f>IF(K24="","",IF(11-MOD(K24,11)&gt;9,0,11-MOD(K24,11)))</f>
        <v/>
      </c>
      <c r="M24">
        <f>IFERROR(IF(LEN(C24)&lt;&gt;13,"",IF(VALUE(MID(C24,5,3))&gt;=800,1000,2000)+VALUE(MID(C24,5,3))),"")</f>
        <v/>
      </c>
      <c r="N24">
        <f>IFERROR(IF(M24="","",IF(AND(DAY(DATE(M24,VALUE(MID(C24,3,2)),VALUE(MID(C24,1,2))))=VALUE(MID(C24,1,2)),MONTH(DATE(M24,VALUE(MID(C24,3,2)),VALUE(MID(C24,1,2))))=VALUE(MID(C24,3,2))),DATE(M24,VALUE(MID(C24,3,2)),VALUE(MID(C24,1,2))),"")),"")</f>
        <v/>
      </c>
    </row>
    <row r="25">
      <c r="A25" s="2" t="n"/>
      <c r="B25" s="2" t="n"/>
      <c r="C25" s="3" t="n"/>
      <c r="D25" s="2" t="n"/>
      <c r="E25" s="4">
        <f>IF(A25="","",5)</f>
        <v/>
      </c>
      <c r="F25" s="2" t="n"/>
      <c r="G25" s="4" t="n"/>
      <c r="H25" s="2" t="n"/>
      <c r="I25" s="2" t="n"/>
      <c r="J25" s="2">
        <f>IF(C25="","",IF(LEN(C25)&lt;&gt;13,"Nema 13 cifara (ima "&amp;LEN(C25)&amp;")",IF(L25="","JMBG sadrži nešto što nije cifra",IF(N25="","Nepostojeći datum rođenja",IF(VALUE(MID(C25,13,1))&lt;&gt;L25,"Pogrešna kontrolna cifra - treba "&amp;L25,"✓ ispravan")))))</f>
        <v/>
      </c>
      <c r="K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L25">
        <f>IF(K25="","",IF(11-MOD(K25,11)&gt;9,0,11-MOD(K25,11)))</f>
        <v/>
      </c>
      <c r="M25">
        <f>IFERROR(IF(LEN(C25)&lt;&gt;13,"",IF(VALUE(MID(C25,5,3))&gt;=800,1000,2000)+VALUE(MID(C25,5,3))),"")</f>
        <v/>
      </c>
      <c r="N25">
        <f>IFERROR(IF(M25="","",IF(AND(DAY(DATE(M25,VALUE(MID(C25,3,2)),VALUE(MID(C25,1,2))))=VALUE(MID(C25,1,2)),MONTH(DATE(M25,VALUE(MID(C25,3,2)),VALUE(MID(C25,1,2))))=VALUE(MID(C25,3,2))),DATE(M25,VALUE(MID(C25,3,2)),VALUE(MID(C25,1,2))),"")),"")</f>
        <v/>
      </c>
    </row>
    <row r="26">
      <c r="A26" s="2" t="n"/>
      <c r="B26" s="2" t="n"/>
      <c r="C26" s="3" t="n"/>
      <c r="D26" s="2" t="n"/>
      <c r="E26" s="4">
        <f>IF(A26="","",5)</f>
        <v/>
      </c>
      <c r="F26" s="2" t="n"/>
      <c r="G26" s="4" t="n"/>
      <c r="H26" s="2" t="n"/>
      <c r="I26" s="2" t="n"/>
      <c r="J26" s="2">
        <f>IF(C26="","",IF(LEN(C26)&lt;&gt;13,"Nema 13 cifara (ima "&amp;LEN(C26)&amp;")",IF(L26="","JMBG sadrži nešto što nije cifra",IF(N26="","Nepostojeći datum rođenja",IF(VALUE(MID(C26,13,1))&lt;&gt;L26,"Pogrešna kontrolna cifra - treba "&amp;L26,"✓ ispravan")))))</f>
        <v/>
      </c>
      <c r="K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L26">
        <f>IF(K26="","",IF(11-MOD(K26,11)&gt;9,0,11-MOD(K26,11)))</f>
        <v/>
      </c>
      <c r="M26">
        <f>IFERROR(IF(LEN(C26)&lt;&gt;13,"",IF(VALUE(MID(C26,5,3))&gt;=800,1000,2000)+VALUE(MID(C26,5,3))),"")</f>
        <v/>
      </c>
      <c r="N26">
        <f>IFERROR(IF(M26="","",IF(AND(DAY(DATE(M26,VALUE(MID(C26,3,2)),VALUE(MID(C26,1,2))))=VALUE(MID(C26,1,2)),MONTH(DATE(M26,VALUE(MID(C26,3,2)),VALUE(MID(C26,1,2))))=VALUE(MID(C26,3,2))),DATE(M26,VALUE(MID(C26,3,2)),VALUE(MID(C26,1,2))),"")),"")</f>
        <v/>
      </c>
    </row>
    <row r="27">
      <c r="A27" s="2" t="n"/>
      <c r="B27" s="2" t="n"/>
      <c r="C27" s="3" t="n"/>
      <c r="D27" s="2" t="n"/>
      <c r="E27" s="4">
        <f>IF(A27="","",5)</f>
        <v/>
      </c>
      <c r="F27" s="2" t="n"/>
      <c r="G27" s="4" t="n"/>
      <c r="H27" s="2" t="n"/>
      <c r="I27" s="2" t="n"/>
      <c r="J27" s="2">
        <f>IF(C27="","",IF(LEN(C27)&lt;&gt;13,"Nema 13 cifara (ima "&amp;LEN(C27)&amp;")",IF(L27="","JMBG sadrži nešto što nije cifra",IF(N27="","Nepostojeći datum rođenja",IF(VALUE(MID(C27,13,1))&lt;&gt;L27,"Pogrešna kontrolna cifra - treba "&amp;L27,"✓ ispravan")))))</f>
        <v/>
      </c>
      <c r="K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L27">
        <f>IF(K27="","",IF(11-MOD(K27,11)&gt;9,0,11-MOD(K27,11)))</f>
        <v/>
      </c>
      <c r="M27">
        <f>IFERROR(IF(LEN(C27)&lt;&gt;13,"",IF(VALUE(MID(C27,5,3))&gt;=800,1000,2000)+VALUE(MID(C27,5,3))),"")</f>
        <v/>
      </c>
      <c r="N27">
        <f>IFERROR(IF(M27="","",IF(AND(DAY(DATE(M27,VALUE(MID(C27,3,2)),VALUE(MID(C27,1,2))))=VALUE(MID(C27,1,2)),MONTH(DATE(M27,VALUE(MID(C27,3,2)),VALUE(MID(C27,1,2))))=VALUE(MID(C27,3,2))),DATE(M27,VALUE(MID(C27,3,2)),VALUE(MID(C27,1,2))),"")),"")</f>
        <v/>
      </c>
    </row>
    <row r="28">
      <c r="A28" s="2" t="n"/>
      <c r="B28" s="2" t="n"/>
      <c r="C28" s="3" t="n"/>
      <c r="D28" s="2" t="n"/>
      <c r="E28" s="4">
        <f>IF(A28="","",5)</f>
        <v/>
      </c>
      <c r="F28" s="2" t="n"/>
      <c r="G28" s="4" t="n"/>
      <c r="H28" s="2" t="n"/>
      <c r="I28" s="2" t="n"/>
      <c r="J28" s="2">
        <f>IF(C28="","",IF(LEN(C28)&lt;&gt;13,"Nema 13 cifara (ima "&amp;LEN(C28)&amp;")",IF(L28="","JMBG sadrži nešto što nije cifra",IF(N28="","Nepostojeći datum rođenja",IF(VALUE(MID(C28,13,1))&lt;&gt;L28,"Pogrešna kontrolna cifra - treba "&amp;L28,"✓ ispravan")))))</f>
        <v/>
      </c>
      <c r="K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L28">
        <f>IF(K28="","",IF(11-MOD(K28,11)&gt;9,0,11-MOD(K28,11)))</f>
        <v/>
      </c>
      <c r="M28">
        <f>IFERROR(IF(LEN(C28)&lt;&gt;13,"",IF(VALUE(MID(C28,5,3))&gt;=800,1000,2000)+VALUE(MID(C28,5,3))),"")</f>
        <v/>
      </c>
      <c r="N28">
        <f>IFERROR(IF(M28="","",IF(AND(DAY(DATE(M28,VALUE(MID(C28,3,2)),VALUE(MID(C28,1,2))))=VALUE(MID(C28,1,2)),MONTH(DATE(M28,VALUE(MID(C28,3,2)),VALUE(MID(C28,1,2))))=VALUE(MID(C28,3,2))),DATE(M28,VALUE(MID(C28,3,2)),VALUE(MID(C28,1,2))),"")),"")</f>
        <v/>
      </c>
    </row>
    <row r="29">
      <c r="A29" s="2" t="n"/>
      <c r="B29" s="2" t="n"/>
      <c r="C29" s="3" t="n"/>
      <c r="D29" s="2" t="n"/>
      <c r="E29" s="4">
        <f>IF(A29="","",5)</f>
        <v/>
      </c>
      <c r="F29" s="2" t="n"/>
      <c r="G29" s="4" t="n"/>
      <c r="H29" s="2" t="n"/>
      <c r="I29" s="2" t="n"/>
      <c r="J29" s="2">
        <f>IF(C29="","",IF(LEN(C29)&lt;&gt;13,"Nema 13 cifara (ima "&amp;LEN(C29)&amp;")",IF(L29="","JMBG sadrži nešto što nije cifra",IF(N29="","Nepostojeći datum rođenja",IF(VALUE(MID(C29,13,1))&lt;&gt;L29,"Pogrešna kontrolna cifra - treba "&amp;L29,"✓ ispravan")))))</f>
        <v/>
      </c>
      <c r="K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L29">
        <f>IF(K29="","",IF(11-MOD(K29,11)&gt;9,0,11-MOD(K29,11)))</f>
        <v/>
      </c>
      <c r="M29">
        <f>IFERROR(IF(LEN(C29)&lt;&gt;13,"",IF(VALUE(MID(C29,5,3))&gt;=800,1000,2000)+VALUE(MID(C29,5,3))),"")</f>
        <v/>
      </c>
      <c r="N29">
        <f>IFERROR(IF(M29="","",IF(AND(DAY(DATE(M29,VALUE(MID(C29,3,2)),VALUE(MID(C29,1,2))))=VALUE(MID(C29,1,2)),MONTH(DATE(M29,VALUE(MID(C29,3,2)),VALUE(MID(C29,1,2))))=VALUE(MID(C29,3,2))),DATE(M29,VALUE(MID(C29,3,2)),VALUE(MID(C29,1,2))),"")),"")</f>
        <v/>
      </c>
    </row>
    <row r="30">
      <c r="A30" s="2" t="n"/>
      <c r="B30" s="2" t="n"/>
      <c r="C30" s="3" t="n"/>
      <c r="D30" s="2" t="n"/>
      <c r="E30" s="4">
        <f>IF(A30="","",5)</f>
        <v/>
      </c>
      <c r="F30" s="2" t="n"/>
      <c r="G30" s="4" t="n"/>
      <c r="H30" s="2" t="n"/>
      <c r="I30" s="2" t="n"/>
      <c r="J30" s="2">
        <f>IF(C30="","",IF(LEN(C30)&lt;&gt;13,"Nema 13 cifara (ima "&amp;LEN(C30)&amp;")",IF(L30="","JMBG sadrži nešto što nije cifra",IF(N30="","Nepostojeći datum rođenja",IF(VALUE(MID(C30,13,1))&lt;&gt;L30,"Pogrešna kontrolna cifra - treba "&amp;L30,"✓ ispravan")))))</f>
        <v/>
      </c>
      <c r="K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L30">
        <f>IF(K30="","",IF(11-MOD(K30,11)&gt;9,0,11-MOD(K30,11)))</f>
        <v/>
      </c>
      <c r="M30">
        <f>IFERROR(IF(LEN(C30)&lt;&gt;13,"",IF(VALUE(MID(C30,5,3))&gt;=800,1000,2000)+VALUE(MID(C30,5,3))),"")</f>
        <v/>
      </c>
      <c r="N30">
        <f>IFERROR(IF(M30="","",IF(AND(DAY(DATE(M30,VALUE(MID(C30,3,2)),VALUE(MID(C30,1,2))))=VALUE(MID(C30,1,2)),MONTH(DATE(M30,VALUE(MID(C30,3,2)),VALUE(MID(C30,1,2))))=VALUE(MID(C30,3,2))),DATE(M30,VALUE(MID(C30,3,2)),VALUE(MID(C30,1,2))),"")),"")</f>
        <v/>
      </c>
    </row>
    <row r="31">
      <c r="A31" s="2" t="n"/>
      <c r="B31" s="2" t="n"/>
      <c r="C31" s="3" t="n"/>
      <c r="D31" s="2" t="n"/>
      <c r="E31" s="4">
        <f>IF(A31="","",5)</f>
        <v/>
      </c>
      <c r="F31" s="2" t="n"/>
      <c r="G31" s="4" t="n"/>
      <c r="H31" s="2" t="n"/>
      <c r="I31" s="2" t="n"/>
      <c r="J31" s="2">
        <f>IF(C31="","",IF(LEN(C31)&lt;&gt;13,"Nema 13 cifara (ima "&amp;LEN(C31)&amp;")",IF(L31="","JMBG sadrži nešto što nije cifra",IF(N31="","Nepostojeći datum rođenja",IF(VALUE(MID(C31,13,1))&lt;&gt;L31,"Pogrešna kontrolna cifra - treba "&amp;L31,"✓ ispravan")))))</f>
        <v/>
      </c>
      <c r="K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L31">
        <f>IF(K31="","",IF(11-MOD(K31,11)&gt;9,0,11-MOD(K31,11)))</f>
        <v/>
      </c>
      <c r="M31">
        <f>IFERROR(IF(LEN(C31)&lt;&gt;13,"",IF(VALUE(MID(C31,5,3))&gt;=800,1000,2000)+VALUE(MID(C31,5,3))),"")</f>
        <v/>
      </c>
      <c r="N31">
        <f>IFERROR(IF(M31="","",IF(AND(DAY(DATE(M31,VALUE(MID(C31,3,2)),VALUE(MID(C31,1,2))))=VALUE(MID(C31,1,2)),MONTH(DATE(M31,VALUE(MID(C31,3,2)),VALUE(MID(C31,1,2))))=VALUE(MID(C31,3,2))),DATE(M31,VALUE(MID(C31,3,2)),VALUE(MID(C31,1,2))),"")),"")</f>
        <v/>
      </c>
    </row>
    <row r="32">
      <c r="A32" s="2" t="n"/>
      <c r="B32" s="2" t="n"/>
      <c r="C32" s="3" t="n"/>
      <c r="D32" s="2" t="n"/>
      <c r="E32" s="4">
        <f>IF(A32="","",5)</f>
        <v/>
      </c>
      <c r="F32" s="2" t="n"/>
      <c r="G32" s="4" t="n"/>
      <c r="H32" s="2" t="n"/>
      <c r="I32" s="2" t="n"/>
      <c r="J32" s="2">
        <f>IF(C32="","",IF(LEN(C32)&lt;&gt;13,"Nema 13 cifara (ima "&amp;LEN(C32)&amp;")",IF(L32="","JMBG sadrži nešto što nije cifra",IF(N32="","Nepostojeći datum rođenja",IF(VALUE(MID(C32,13,1))&lt;&gt;L32,"Pogrešna kontrolna cifra - treba "&amp;L32,"✓ ispravan")))))</f>
        <v/>
      </c>
      <c r="K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L32">
        <f>IF(K32="","",IF(11-MOD(K32,11)&gt;9,0,11-MOD(K32,11)))</f>
        <v/>
      </c>
      <c r="M32">
        <f>IFERROR(IF(LEN(C32)&lt;&gt;13,"",IF(VALUE(MID(C32,5,3))&gt;=800,1000,2000)+VALUE(MID(C32,5,3))),"")</f>
        <v/>
      </c>
      <c r="N32">
        <f>IFERROR(IF(M32="","",IF(AND(DAY(DATE(M32,VALUE(MID(C32,3,2)),VALUE(MID(C32,1,2))))=VALUE(MID(C32,1,2)),MONTH(DATE(M32,VALUE(MID(C32,3,2)),VALUE(MID(C32,1,2))))=VALUE(MID(C32,3,2))),DATE(M32,VALUE(MID(C32,3,2)),VALUE(MID(C32,1,2))),"")),"")</f>
        <v/>
      </c>
    </row>
    <row r="33">
      <c r="A33" s="2" t="n"/>
      <c r="B33" s="2" t="n"/>
      <c r="C33" s="3" t="n"/>
      <c r="D33" s="2" t="n"/>
      <c r="E33" s="4">
        <f>IF(A33="","",5)</f>
        <v/>
      </c>
      <c r="F33" s="2" t="n"/>
      <c r="G33" s="4" t="n"/>
      <c r="H33" s="2" t="n"/>
      <c r="I33" s="2" t="n"/>
      <c r="J33" s="2">
        <f>IF(C33="","",IF(LEN(C33)&lt;&gt;13,"Nema 13 cifara (ima "&amp;LEN(C33)&amp;")",IF(L33="","JMBG sadrži nešto što nije cifra",IF(N33="","Nepostojeći datum rođenja",IF(VALUE(MID(C33,13,1))&lt;&gt;L33,"Pogrešna kontrolna cifra - treba "&amp;L33,"✓ ispravan")))))</f>
        <v/>
      </c>
      <c r="K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L33">
        <f>IF(K33="","",IF(11-MOD(K33,11)&gt;9,0,11-MOD(K33,11)))</f>
        <v/>
      </c>
      <c r="M33">
        <f>IFERROR(IF(LEN(C33)&lt;&gt;13,"",IF(VALUE(MID(C33,5,3))&gt;=800,1000,2000)+VALUE(MID(C33,5,3))),"")</f>
        <v/>
      </c>
      <c r="N33">
        <f>IFERROR(IF(M33="","",IF(AND(DAY(DATE(M33,VALUE(MID(C33,3,2)),VALUE(MID(C33,1,2))))=VALUE(MID(C33,1,2)),MONTH(DATE(M33,VALUE(MID(C33,3,2)),VALUE(MID(C33,1,2))))=VALUE(MID(C33,3,2))),DATE(M33,VALUE(MID(C33,3,2)),VALUE(MID(C33,1,2))),"")),"")</f>
        <v/>
      </c>
    </row>
    <row r="34">
      <c r="A34" s="2" t="n"/>
      <c r="B34" s="2" t="n"/>
      <c r="C34" s="3" t="n"/>
      <c r="D34" s="2" t="n"/>
      <c r="E34" s="4">
        <f>IF(A34="","",5)</f>
        <v/>
      </c>
      <c r="F34" s="2" t="n"/>
      <c r="G34" s="4" t="n"/>
      <c r="H34" s="2" t="n"/>
      <c r="I34" s="2" t="n"/>
      <c r="J34" s="2">
        <f>IF(C34="","",IF(LEN(C34)&lt;&gt;13,"Nema 13 cifara (ima "&amp;LEN(C34)&amp;")",IF(L34="","JMBG sadrži nešto što nije cifra",IF(N34="","Nepostojeći datum rođenja",IF(VALUE(MID(C34,13,1))&lt;&gt;L34,"Pogrešna kontrolna cifra - treba "&amp;L34,"✓ ispravan")))))</f>
        <v/>
      </c>
      <c r="K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L34">
        <f>IF(K34="","",IF(11-MOD(K34,11)&gt;9,0,11-MOD(K34,11)))</f>
        <v/>
      </c>
      <c r="M34">
        <f>IFERROR(IF(LEN(C34)&lt;&gt;13,"",IF(VALUE(MID(C34,5,3))&gt;=800,1000,2000)+VALUE(MID(C34,5,3))),"")</f>
        <v/>
      </c>
      <c r="N34">
        <f>IFERROR(IF(M34="","",IF(AND(DAY(DATE(M34,VALUE(MID(C34,3,2)),VALUE(MID(C34,1,2))))=VALUE(MID(C34,1,2)),MONTH(DATE(M34,VALUE(MID(C34,3,2)),VALUE(MID(C34,1,2))))=VALUE(MID(C34,3,2))),DATE(M34,VALUE(MID(C34,3,2)),VALUE(MID(C34,1,2))),"")),"")</f>
        <v/>
      </c>
    </row>
    <row r="35">
      <c r="A35" s="2" t="n"/>
      <c r="B35" s="2" t="n"/>
      <c r="C35" s="3" t="n"/>
      <c r="D35" s="2" t="n"/>
      <c r="E35" s="4">
        <f>IF(A35="","",5)</f>
        <v/>
      </c>
      <c r="F35" s="2" t="n"/>
      <c r="G35" s="4" t="n"/>
      <c r="H35" s="2" t="n"/>
      <c r="I35" s="2" t="n"/>
      <c r="J35" s="2">
        <f>IF(C35="","",IF(LEN(C35)&lt;&gt;13,"Nema 13 cifara (ima "&amp;LEN(C35)&amp;")",IF(L35="","JMBG sadrži nešto što nije cifra",IF(N35="","Nepostojeći datum rođenja",IF(VALUE(MID(C35,13,1))&lt;&gt;L35,"Pogrešna kontrolna cifra - treba "&amp;L35,"✓ ispravan")))))</f>
        <v/>
      </c>
      <c r="K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L35">
        <f>IF(K35="","",IF(11-MOD(K35,11)&gt;9,0,11-MOD(K35,11)))</f>
        <v/>
      </c>
      <c r="M35">
        <f>IFERROR(IF(LEN(C35)&lt;&gt;13,"",IF(VALUE(MID(C35,5,3))&gt;=800,1000,2000)+VALUE(MID(C35,5,3))),"")</f>
        <v/>
      </c>
      <c r="N35">
        <f>IFERROR(IF(M35="","",IF(AND(DAY(DATE(M35,VALUE(MID(C35,3,2)),VALUE(MID(C35,1,2))))=VALUE(MID(C35,1,2)),MONTH(DATE(M35,VALUE(MID(C35,3,2)),VALUE(MID(C35,1,2))))=VALUE(MID(C35,3,2))),DATE(M35,VALUE(MID(C35,3,2)),VALUE(MID(C35,1,2))),"")),"")</f>
        <v/>
      </c>
    </row>
    <row r="36">
      <c r="A36" s="2" t="n"/>
      <c r="B36" s="2" t="n"/>
      <c r="C36" s="3" t="n"/>
      <c r="D36" s="2" t="n"/>
      <c r="E36" s="4">
        <f>IF(A36="","",5)</f>
        <v/>
      </c>
      <c r="F36" s="2" t="n"/>
      <c r="G36" s="4" t="n"/>
      <c r="H36" s="2" t="n"/>
      <c r="I36" s="2" t="n"/>
      <c r="J36" s="2">
        <f>IF(C36="","",IF(LEN(C36)&lt;&gt;13,"Nema 13 cifara (ima "&amp;LEN(C36)&amp;")",IF(L36="","JMBG sadrži nešto što nije cifra",IF(N36="","Nepostojeći datum rođenja",IF(VALUE(MID(C36,13,1))&lt;&gt;L36,"Pogrešna kontrolna cifra - treba "&amp;L36,"✓ ispravan")))))</f>
        <v/>
      </c>
      <c r="K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L36">
        <f>IF(K36="","",IF(11-MOD(K36,11)&gt;9,0,11-MOD(K36,11)))</f>
        <v/>
      </c>
      <c r="M36">
        <f>IFERROR(IF(LEN(C36)&lt;&gt;13,"",IF(VALUE(MID(C36,5,3))&gt;=800,1000,2000)+VALUE(MID(C36,5,3))),"")</f>
        <v/>
      </c>
      <c r="N36">
        <f>IFERROR(IF(M36="","",IF(AND(DAY(DATE(M36,VALUE(MID(C36,3,2)),VALUE(MID(C36,1,2))))=VALUE(MID(C36,1,2)),MONTH(DATE(M36,VALUE(MID(C36,3,2)),VALUE(MID(C36,1,2))))=VALUE(MID(C36,3,2))),DATE(M36,VALUE(MID(C36,3,2)),VALUE(MID(C36,1,2))),"")),"")</f>
        <v/>
      </c>
    </row>
    <row r="37">
      <c r="A37" s="2" t="n"/>
      <c r="B37" s="2" t="n"/>
      <c r="C37" s="3" t="n"/>
      <c r="D37" s="2" t="n"/>
      <c r="E37" s="4">
        <f>IF(A37="","",5)</f>
        <v/>
      </c>
      <c r="F37" s="2" t="n"/>
      <c r="G37" s="4" t="n"/>
      <c r="H37" s="2" t="n"/>
      <c r="I37" s="2" t="n"/>
      <c r="J37" s="2">
        <f>IF(C37="","",IF(LEN(C37)&lt;&gt;13,"Nema 13 cifara (ima "&amp;LEN(C37)&amp;")",IF(L37="","JMBG sadrži nešto što nije cifra",IF(N37="","Nepostojeći datum rođenja",IF(VALUE(MID(C37,13,1))&lt;&gt;L37,"Pogrešna kontrolna cifra - treba "&amp;L37,"✓ ispravan")))))</f>
        <v/>
      </c>
      <c r="K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L37">
        <f>IF(K37="","",IF(11-MOD(K37,11)&gt;9,0,11-MOD(K37,11)))</f>
        <v/>
      </c>
      <c r="M37">
        <f>IFERROR(IF(LEN(C37)&lt;&gt;13,"",IF(VALUE(MID(C37,5,3))&gt;=800,1000,2000)+VALUE(MID(C37,5,3))),"")</f>
        <v/>
      </c>
      <c r="N37">
        <f>IFERROR(IF(M37="","",IF(AND(DAY(DATE(M37,VALUE(MID(C37,3,2)),VALUE(MID(C37,1,2))))=VALUE(MID(C37,1,2)),MONTH(DATE(M37,VALUE(MID(C37,3,2)),VALUE(MID(C37,1,2))))=VALUE(MID(C37,3,2))),DATE(M37,VALUE(MID(C37,3,2)),VALUE(MID(C37,1,2))),"")),"")</f>
        <v/>
      </c>
    </row>
    <row r="38">
      <c r="A38" s="2" t="n"/>
      <c r="B38" s="2" t="n"/>
      <c r="C38" s="3" t="n"/>
      <c r="D38" s="2" t="n"/>
      <c r="E38" s="4">
        <f>IF(A38="","",5)</f>
        <v/>
      </c>
      <c r="F38" s="2" t="n"/>
      <c r="G38" s="4" t="n"/>
      <c r="H38" s="2" t="n"/>
      <c r="I38" s="2" t="n"/>
      <c r="J38" s="2">
        <f>IF(C38="","",IF(LEN(C38)&lt;&gt;13,"Nema 13 cifara (ima "&amp;LEN(C38)&amp;")",IF(L38="","JMBG sadrži nešto što nije cifra",IF(N38="","Nepostojeći datum rođenja",IF(VALUE(MID(C38,13,1))&lt;&gt;L38,"Pogrešna kontrolna cifra - treba "&amp;L38,"✓ ispravan")))))</f>
        <v/>
      </c>
      <c r="K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L38">
        <f>IF(K38="","",IF(11-MOD(K38,11)&gt;9,0,11-MOD(K38,11)))</f>
        <v/>
      </c>
      <c r="M38">
        <f>IFERROR(IF(LEN(C38)&lt;&gt;13,"",IF(VALUE(MID(C38,5,3))&gt;=800,1000,2000)+VALUE(MID(C38,5,3))),"")</f>
        <v/>
      </c>
      <c r="N38">
        <f>IFERROR(IF(M38="","",IF(AND(DAY(DATE(M38,VALUE(MID(C38,3,2)),VALUE(MID(C38,1,2))))=VALUE(MID(C38,1,2)),MONTH(DATE(M38,VALUE(MID(C38,3,2)),VALUE(MID(C38,1,2))))=VALUE(MID(C38,3,2))),DATE(M38,VALUE(MID(C38,3,2)),VALUE(MID(C38,1,2))),"")),"")</f>
        <v/>
      </c>
    </row>
    <row r="39">
      <c r="A39" s="2" t="n"/>
      <c r="B39" s="2" t="n"/>
      <c r="C39" s="3" t="n"/>
      <c r="D39" s="2" t="n"/>
      <c r="E39" s="4">
        <f>IF(A39="","",5)</f>
        <v/>
      </c>
      <c r="F39" s="2" t="n"/>
      <c r="G39" s="4" t="n"/>
      <c r="H39" s="2" t="n"/>
      <c r="I39" s="2" t="n"/>
      <c r="J39" s="2">
        <f>IF(C39="","",IF(LEN(C39)&lt;&gt;13,"Nema 13 cifara (ima "&amp;LEN(C39)&amp;")",IF(L39="","JMBG sadrži nešto što nije cifra",IF(N39="","Nepostojeći datum rođenja",IF(VALUE(MID(C39,13,1))&lt;&gt;L39,"Pogrešna kontrolna cifra - treba "&amp;L39,"✓ ispravan")))))</f>
        <v/>
      </c>
      <c r="K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L39">
        <f>IF(K39="","",IF(11-MOD(K39,11)&gt;9,0,11-MOD(K39,11)))</f>
        <v/>
      </c>
      <c r="M39">
        <f>IFERROR(IF(LEN(C39)&lt;&gt;13,"",IF(VALUE(MID(C39,5,3))&gt;=800,1000,2000)+VALUE(MID(C39,5,3))),"")</f>
        <v/>
      </c>
      <c r="N39">
        <f>IFERROR(IF(M39="","",IF(AND(DAY(DATE(M39,VALUE(MID(C39,3,2)),VALUE(MID(C39,1,2))))=VALUE(MID(C39,1,2)),MONTH(DATE(M39,VALUE(MID(C39,3,2)),VALUE(MID(C39,1,2))))=VALUE(MID(C39,3,2))),DATE(M39,VALUE(MID(C39,3,2)),VALUE(MID(C39,1,2))),"")),"")</f>
        <v/>
      </c>
    </row>
    <row r="40">
      <c r="A40" s="2" t="n"/>
      <c r="B40" s="2" t="n"/>
      <c r="C40" s="3" t="n"/>
      <c r="D40" s="2" t="n"/>
      <c r="E40" s="4">
        <f>IF(A40="","",5)</f>
        <v/>
      </c>
      <c r="F40" s="2" t="n"/>
      <c r="G40" s="4" t="n"/>
      <c r="H40" s="2" t="n"/>
      <c r="I40" s="2" t="n"/>
      <c r="J40" s="2">
        <f>IF(C40="","",IF(LEN(C40)&lt;&gt;13,"Nema 13 cifara (ima "&amp;LEN(C40)&amp;")",IF(L40="","JMBG sadrži nešto što nije cifra",IF(N40="","Nepostojeći datum rođenja",IF(VALUE(MID(C40,13,1))&lt;&gt;L40,"Pogrešna kontrolna cifra - treba "&amp;L40,"✓ ispravan")))))</f>
        <v/>
      </c>
      <c r="K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L40">
        <f>IF(K40="","",IF(11-MOD(K40,11)&gt;9,0,11-MOD(K40,11)))</f>
        <v/>
      </c>
      <c r="M40">
        <f>IFERROR(IF(LEN(C40)&lt;&gt;13,"",IF(VALUE(MID(C40,5,3))&gt;=800,1000,2000)+VALUE(MID(C40,5,3))),"")</f>
        <v/>
      </c>
      <c r="N40">
        <f>IFERROR(IF(M40="","",IF(AND(DAY(DATE(M40,VALUE(MID(C40,3,2)),VALUE(MID(C40,1,2))))=VALUE(MID(C40,1,2)),MONTH(DATE(M40,VALUE(MID(C40,3,2)),VALUE(MID(C40,1,2))))=VALUE(MID(C40,3,2))),DATE(M40,VALUE(MID(C40,3,2)),VALUE(MID(C40,1,2))),"")),"")</f>
        <v/>
      </c>
    </row>
    <row r="41">
      <c r="A41" s="2" t="n"/>
      <c r="B41" s="2" t="n"/>
      <c r="C41" s="3" t="n"/>
      <c r="D41" s="2" t="n"/>
      <c r="E41" s="4">
        <f>IF(A41="","",5)</f>
        <v/>
      </c>
      <c r="F41" s="2" t="n"/>
      <c r="G41" s="4" t="n"/>
      <c r="H41" s="2" t="n"/>
      <c r="I41" s="2" t="n"/>
      <c r="J41" s="2">
        <f>IF(C41="","",IF(LEN(C41)&lt;&gt;13,"Nema 13 cifara (ima "&amp;LEN(C41)&amp;")",IF(L41="","JMBG sadrži nešto što nije cifra",IF(N41="","Nepostojeći datum rođenja",IF(VALUE(MID(C41,13,1))&lt;&gt;L41,"Pogrešna kontrolna cifra - treba "&amp;L41,"✓ ispravan")))))</f>
        <v/>
      </c>
      <c r="K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L41">
        <f>IF(K41="","",IF(11-MOD(K41,11)&gt;9,0,11-MOD(K41,11)))</f>
        <v/>
      </c>
      <c r="M41">
        <f>IFERROR(IF(LEN(C41)&lt;&gt;13,"",IF(VALUE(MID(C41,5,3))&gt;=800,1000,2000)+VALUE(MID(C41,5,3))),"")</f>
        <v/>
      </c>
      <c r="N41">
        <f>IFERROR(IF(M41="","",IF(AND(DAY(DATE(M41,VALUE(MID(C41,3,2)),VALUE(MID(C41,1,2))))=VALUE(MID(C41,1,2)),MONTH(DATE(M41,VALUE(MID(C41,3,2)),VALUE(MID(C41,1,2))))=VALUE(MID(C41,3,2))),DATE(M41,VALUE(MID(C41,3,2)),VALUE(MID(C41,1,2))),"")),"")</f>
        <v/>
      </c>
    </row>
    <row r="42">
      <c r="A42" s="2" t="n"/>
      <c r="B42" s="2" t="n"/>
      <c r="C42" s="3" t="n"/>
      <c r="D42" s="2" t="n"/>
      <c r="E42" s="4">
        <f>IF(A42="","",5)</f>
        <v/>
      </c>
      <c r="F42" s="2" t="n"/>
      <c r="G42" s="4" t="n"/>
      <c r="H42" s="2" t="n"/>
      <c r="I42" s="2" t="n"/>
      <c r="J42" s="2">
        <f>IF(C42="","",IF(LEN(C42)&lt;&gt;13,"Nema 13 cifara (ima "&amp;LEN(C42)&amp;")",IF(L42="","JMBG sadrži nešto što nije cifra",IF(N42="","Nepostojeći datum rođenja",IF(VALUE(MID(C42,13,1))&lt;&gt;L42,"Pogrešna kontrolna cifra - treba "&amp;L42,"✓ ispravan")))))</f>
        <v/>
      </c>
      <c r="K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L42">
        <f>IF(K42="","",IF(11-MOD(K42,11)&gt;9,0,11-MOD(K42,11)))</f>
        <v/>
      </c>
      <c r="M42">
        <f>IFERROR(IF(LEN(C42)&lt;&gt;13,"",IF(VALUE(MID(C42,5,3))&gt;=800,1000,2000)+VALUE(MID(C42,5,3))),"")</f>
        <v/>
      </c>
      <c r="N42">
        <f>IFERROR(IF(M42="","",IF(AND(DAY(DATE(M42,VALUE(MID(C42,3,2)),VALUE(MID(C42,1,2))))=VALUE(MID(C42,1,2)),MONTH(DATE(M42,VALUE(MID(C42,3,2)),VALUE(MID(C42,1,2))))=VALUE(MID(C42,3,2))),DATE(M42,VALUE(MID(C42,3,2)),VALUE(MID(C42,1,2))),"")),"")</f>
        <v/>
      </c>
    </row>
    <row r="43">
      <c r="A43" s="2" t="n"/>
      <c r="B43" s="2" t="n"/>
      <c r="C43" s="3" t="n"/>
      <c r="D43" s="2" t="n"/>
      <c r="E43" s="4">
        <f>IF(A43="","",5)</f>
        <v/>
      </c>
      <c r="F43" s="2" t="n"/>
      <c r="G43" s="4" t="n"/>
      <c r="H43" s="2" t="n"/>
      <c r="I43" s="2" t="n"/>
      <c r="J43" s="2">
        <f>IF(C43="","",IF(LEN(C43)&lt;&gt;13,"Nema 13 cifara (ima "&amp;LEN(C43)&amp;")",IF(L43="","JMBG sadrži nešto što nije cifra",IF(N43="","Nepostojeći datum rođenja",IF(VALUE(MID(C43,13,1))&lt;&gt;L43,"Pogrešna kontrolna cifra - treba "&amp;L43,"✓ ispravan")))))</f>
        <v/>
      </c>
      <c r="K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L43">
        <f>IF(K43="","",IF(11-MOD(K43,11)&gt;9,0,11-MOD(K43,11)))</f>
        <v/>
      </c>
      <c r="M43">
        <f>IFERROR(IF(LEN(C43)&lt;&gt;13,"",IF(VALUE(MID(C43,5,3))&gt;=800,1000,2000)+VALUE(MID(C43,5,3))),"")</f>
        <v/>
      </c>
      <c r="N43">
        <f>IFERROR(IF(M43="","",IF(AND(DAY(DATE(M43,VALUE(MID(C43,3,2)),VALUE(MID(C43,1,2))))=VALUE(MID(C43,1,2)),MONTH(DATE(M43,VALUE(MID(C43,3,2)),VALUE(MID(C43,1,2))))=VALUE(MID(C43,3,2))),DATE(M43,VALUE(MID(C43,3,2)),VALUE(MID(C43,1,2))),"")),"")</f>
        <v/>
      </c>
    </row>
    <row r="44">
      <c r="A44" s="2" t="n"/>
      <c r="B44" s="2" t="n"/>
      <c r="C44" s="3" t="n"/>
      <c r="D44" s="2" t="n"/>
      <c r="E44" s="4">
        <f>IF(A44="","",5)</f>
        <v/>
      </c>
      <c r="F44" s="2" t="n"/>
      <c r="G44" s="4" t="n"/>
      <c r="H44" s="2" t="n"/>
      <c r="I44" s="2" t="n"/>
      <c r="J44" s="2">
        <f>IF(C44="","",IF(LEN(C44)&lt;&gt;13,"Nema 13 cifara (ima "&amp;LEN(C44)&amp;")",IF(L44="","JMBG sadrži nešto što nije cifra",IF(N44="","Nepostojeći datum rođenja",IF(VALUE(MID(C44,13,1))&lt;&gt;L44,"Pogrešna kontrolna cifra - treba "&amp;L44,"✓ ispravan")))))</f>
        <v/>
      </c>
      <c r="K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L44">
        <f>IF(K44="","",IF(11-MOD(K44,11)&gt;9,0,11-MOD(K44,11)))</f>
        <v/>
      </c>
      <c r="M44">
        <f>IFERROR(IF(LEN(C44)&lt;&gt;13,"",IF(VALUE(MID(C44,5,3))&gt;=800,1000,2000)+VALUE(MID(C44,5,3))),"")</f>
        <v/>
      </c>
      <c r="N44">
        <f>IFERROR(IF(M44="","",IF(AND(DAY(DATE(M44,VALUE(MID(C44,3,2)),VALUE(MID(C44,1,2))))=VALUE(MID(C44,1,2)),MONTH(DATE(M44,VALUE(MID(C44,3,2)),VALUE(MID(C44,1,2))))=VALUE(MID(C44,3,2))),DATE(M44,VALUE(MID(C44,3,2)),VALUE(MID(C44,1,2))),"")),"")</f>
        <v/>
      </c>
    </row>
    <row r="45">
      <c r="A45" s="2" t="n"/>
      <c r="B45" s="2" t="n"/>
      <c r="C45" s="3" t="n"/>
      <c r="D45" s="2" t="n"/>
      <c r="E45" s="4">
        <f>IF(A45="","",5)</f>
        <v/>
      </c>
      <c r="F45" s="2" t="n"/>
      <c r="G45" s="4" t="n"/>
      <c r="H45" s="2" t="n"/>
      <c r="I45" s="2" t="n"/>
      <c r="J45" s="2">
        <f>IF(C45="","",IF(LEN(C45)&lt;&gt;13,"Nema 13 cifara (ima "&amp;LEN(C45)&amp;")",IF(L45="","JMBG sadrži nešto što nije cifra",IF(N45="","Nepostojeći datum rođenja",IF(VALUE(MID(C45,13,1))&lt;&gt;L45,"Pogrešna kontrolna cifra - treba "&amp;L45,"✓ ispravan")))))</f>
        <v/>
      </c>
      <c r="K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L45">
        <f>IF(K45="","",IF(11-MOD(K45,11)&gt;9,0,11-MOD(K45,11)))</f>
        <v/>
      </c>
      <c r="M45">
        <f>IFERROR(IF(LEN(C45)&lt;&gt;13,"",IF(VALUE(MID(C45,5,3))&gt;=800,1000,2000)+VALUE(MID(C45,5,3))),"")</f>
        <v/>
      </c>
      <c r="N45">
        <f>IFERROR(IF(M45="","",IF(AND(DAY(DATE(M45,VALUE(MID(C45,3,2)),VALUE(MID(C45,1,2))))=VALUE(MID(C45,1,2)),MONTH(DATE(M45,VALUE(MID(C45,3,2)),VALUE(MID(C45,1,2))))=VALUE(MID(C45,3,2))),DATE(M45,VALUE(MID(C45,3,2)),VALUE(MID(C45,1,2))),"")),"")</f>
        <v/>
      </c>
    </row>
    <row r="46">
      <c r="A46" s="2" t="n"/>
      <c r="B46" s="2" t="n"/>
      <c r="C46" s="3" t="n"/>
      <c r="D46" s="2" t="n"/>
      <c r="E46" s="4">
        <f>IF(A46="","",5)</f>
        <v/>
      </c>
      <c r="F46" s="2" t="n"/>
      <c r="G46" s="4" t="n"/>
      <c r="H46" s="2" t="n"/>
      <c r="I46" s="2" t="n"/>
      <c r="J46" s="2">
        <f>IF(C46="","",IF(LEN(C46)&lt;&gt;13,"Nema 13 cifara (ima "&amp;LEN(C46)&amp;")",IF(L46="","JMBG sadrži nešto što nije cifra",IF(N46="","Nepostojeći datum rođenja",IF(VALUE(MID(C46,13,1))&lt;&gt;L46,"Pogrešna kontrolna cifra - treba "&amp;L46,"✓ ispravan")))))</f>
        <v/>
      </c>
      <c r="K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L46">
        <f>IF(K46="","",IF(11-MOD(K46,11)&gt;9,0,11-MOD(K46,11)))</f>
        <v/>
      </c>
      <c r="M46">
        <f>IFERROR(IF(LEN(C46)&lt;&gt;13,"",IF(VALUE(MID(C46,5,3))&gt;=800,1000,2000)+VALUE(MID(C46,5,3))),"")</f>
        <v/>
      </c>
      <c r="N46">
        <f>IFERROR(IF(M46="","",IF(AND(DAY(DATE(M46,VALUE(MID(C46,3,2)),VALUE(MID(C46,1,2))))=VALUE(MID(C46,1,2)),MONTH(DATE(M46,VALUE(MID(C46,3,2)),VALUE(MID(C46,1,2))))=VALUE(MID(C46,3,2))),DATE(M46,VALUE(MID(C46,3,2)),VALUE(MID(C46,1,2))),"")),"")</f>
        <v/>
      </c>
    </row>
    <row r="47">
      <c r="A47" s="2" t="n"/>
      <c r="B47" s="2" t="n"/>
      <c r="C47" s="3" t="n"/>
      <c r="D47" s="2" t="n"/>
      <c r="E47" s="4">
        <f>IF(A47="","",5)</f>
        <v/>
      </c>
      <c r="F47" s="2" t="n"/>
      <c r="G47" s="4" t="n"/>
      <c r="H47" s="2" t="n"/>
      <c r="I47" s="2" t="n"/>
      <c r="J47" s="2">
        <f>IF(C47="","",IF(LEN(C47)&lt;&gt;13,"Nema 13 cifara (ima "&amp;LEN(C47)&amp;")",IF(L47="","JMBG sadrži nešto što nije cifra",IF(N47="","Nepostojeći datum rođenja",IF(VALUE(MID(C47,13,1))&lt;&gt;L47,"Pogrešna kontrolna cifra - treba "&amp;L47,"✓ ispravan")))))</f>
        <v/>
      </c>
      <c r="K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L47">
        <f>IF(K47="","",IF(11-MOD(K47,11)&gt;9,0,11-MOD(K47,11)))</f>
        <v/>
      </c>
      <c r="M47">
        <f>IFERROR(IF(LEN(C47)&lt;&gt;13,"",IF(VALUE(MID(C47,5,3))&gt;=800,1000,2000)+VALUE(MID(C47,5,3))),"")</f>
        <v/>
      </c>
      <c r="N47">
        <f>IFERROR(IF(M47="","",IF(AND(DAY(DATE(M47,VALUE(MID(C47,3,2)),VALUE(MID(C47,1,2))))=VALUE(MID(C47,1,2)),MONTH(DATE(M47,VALUE(MID(C47,3,2)),VALUE(MID(C47,1,2))))=VALUE(MID(C47,3,2))),DATE(M47,VALUE(MID(C47,3,2)),VALUE(MID(C47,1,2))),"")),"")</f>
        <v/>
      </c>
    </row>
    <row r="48">
      <c r="A48" s="2" t="n"/>
      <c r="B48" s="2" t="n"/>
      <c r="C48" s="3" t="n"/>
      <c r="D48" s="2" t="n"/>
      <c r="E48" s="4">
        <f>IF(A48="","",5)</f>
        <v/>
      </c>
      <c r="F48" s="2" t="n"/>
      <c r="G48" s="4" t="n"/>
      <c r="H48" s="2" t="n"/>
      <c r="I48" s="2" t="n"/>
      <c r="J48" s="2">
        <f>IF(C48="","",IF(LEN(C48)&lt;&gt;13,"Nema 13 cifara (ima "&amp;LEN(C48)&amp;")",IF(L48="","JMBG sadrži nešto što nije cifra",IF(N48="","Nepostojeći datum rođenja",IF(VALUE(MID(C48,13,1))&lt;&gt;L48,"Pogrešna kontrolna cifra - treba "&amp;L48,"✓ ispravan")))))</f>
        <v/>
      </c>
      <c r="K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L48">
        <f>IF(K48="","",IF(11-MOD(K48,11)&gt;9,0,11-MOD(K48,11)))</f>
        <v/>
      </c>
      <c r="M48">
        <f>IFERROR(IF(LEN(C48)&lt;&gt;13,"",IF(VALUE(MID(C48,5,3))&gt;=800,1000,2000)+VALUE(MID(C48,5,3))),"")</f>
        <v/>
      </c>
      <c r="N48">
        <f>IFERROR(IF(M48="","",IF(AND(DAY(DATE(M48,VALUE(MID(C48,3,2)),VALUE(MID(C48,1,2))))=VALUE(MID(C48,1,2)),MONTH(DATE(M48,VALUE(MID(C48,3,2)),VALUE(MID(C48,1,2))))=VALUE(MID(C48,3,2))),DATE(M48,VALUE(MID(C48,3,2)),VALUE(MID(C48,1,2))),"")),"")</f>
        <v/>
      </c>
    </row>
    <row r="49">
      <c r="A49" s="2" t="n"/>
      <c r="B49" s="2" t="n"/>
      <c r="C49" s="3" t="n"/>
      <c r="D49" s="2" t="n"/>
      <c r="E49" s="4">
        <f>IF(A49="","",5)</f>
        <v/>
      </c>
      <c r="F49" s="2" t="n"/>
      <c r="G49" s="4" t="n"/>
      <c r="H49" s="2" t="n"/>
      <c r="I49" s="2" t="n"/>
      <c r="J49" s="2">
        <f>IF(C49="","",IF(LEN(C49)&lt;&gt;13,"Nema 13 cifara (ima "&amp;LEN(C49)&amp;")",IF(L49="","JMBG sadrži nešto što nije cifra",IF(N49="","Nepostojeći datum rođenja",IF(VALUE(MID(C49,13,1))&lt;&gt;L49,"Pogrešna kontrolna cifra - treba "&amp;L49,"✓ ispravan")))))</f>
        <v/>
      </c>
      <c r="K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L49">
        <f>IF(K49="","",IF(11-MOD(K49,11)&gt;9,0,11-MOD(K49,11)))</f>
        <v/>
      </c>
      <c r="M49">
        <f>IFERROR(IF(LEN(C49)&lt;&gt;13,"",IF(VALUE(MID(C49,5,3))&gt;=800,1000,2000)+VALUE(MID(C49,5,3))),"")</f>
        <v/>
      </c>
      <c r="N49">
        <f>IFERROR(IF(M49="","",IF(AND(DAY(DATE(M49,VALUE(MID(C49,3,2)),VALUE(MID(C49,1,2))))=VALUE(MID(C49,1,2)),MONTH(DATE(M49,VALUE(MID(C49,3,2)),VALUE(MID(C49,1,2))))=VALUE(MID(C49,3,2))),DATE(M49,VALUE(MID(C49,3,2)),VALUE(MID(C49,1,2))),"")),"")</f>
        <v/>
      </c>
    </row>
    <row r="50">
      <c r="A50" s="2" t="n"/>
      <c r="B50" s="2" t="n"/>
      <c r="C50" s="3" t="n"/>
      <c r="D50" s="2" t="n"/>
      <c r="E50" s="4">
        <f>IF(A50="","",5)</f>
        <v/>
      </c>
      <c r="F50" s="2" t="n"/>
      <c r="G50" s="4" t="n"/>
      <c r="H50" s="2" t="n"/>
      <c r="I50" s="2" t="n"/>
      <c r="J50" s="2">
        <f>IF(C50="","",IF(LEN(C50)&lt;&gt;13,"Nema 13 cifara (ima "&amp;LEN(C50)&amp;")",IF(L50="","JMBG sadrži nešto što nije cifra",IF(N50="","Nepostojeći datum rođenja",IF(VALUE(MID(C50,13,1))&lt;&gt;L50,"Pogrešna kontrolna cifra - treba "&amp;L50,"✓ ispravan")))))</f>
        <v/>
      </c>
      <c r="K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L50">
        <f>IF(K50="","",IF(11-MOD(K50,11)&gt;9,0,11-MOD(K50,11)))</f>
        <v/>
      </c>
      <c r="M50">
        <f>IFERROR(IF(LEN(C50)&lt;&gt;13,"",IF(VALUE(MID(C50,5,3))&gt;=800,1000,2000)+VALUE(MID(C50,5,3))),"")</f>
        <v/>
      </c>
      <c r="N50">
        <f>IFERROR(IF(M50="","",IF(AND(DAY(DATE(M50,VALUE(MID(C50,3,2)),VALUE(MID(C50,1,2))))=VALUE(MID(C50,1,2)),MONTH(DATE(M50,VALUE(MID(C50,3,2)),VALUE(MID(C50,1,2))))=VALUE(MID(C50,3,2))),DATE(M50,VALUE(MID(C50,3,2)),VALUE(MID(C50,1,2))),"")),"")</f>
        <v/>
      </c>
    </row>
    <row r="51">
      <c r="A51" s="2" t="n"/>
      <c r="B51" s="2" t="n"/>
      <c r="C51" s="3" t="n"/>
      <c r="D51" s="2" t="n"/>
      <c r="E51" s="4">
        <f>IF(A51="","",5)</f>
        <v/>
      </c>
      <c r="F51" s="2" t="n"/>
      <c r="G51" s="4" t="n"/>
      <c r="H51" s="2" t="n"/>
      <c r="I51" s="2" t="n"/>
      <c r="J51" s="2">
        <f>IF(C51="","",IF(LEN(C51)&lt;&gt;13,"Nema 13 cifara (ima "&amp;LEN(C51)&amp;")",IF(L51="","JMBG sadrži nešto što nije cifra",IF(N51="","Nepostojeći datum rođenja",IF(VALUE(MID(C51,13,1))&lt;&gt;L51,"Pogrešna kontrolna cifra - treba "&amp;L51,"✓ ispravan")))))</f>
        <v/>
      </c>
      <c r="K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L51">
        <f>IF(K51="","",IF(11-MOD(K51,11)&gt;9,0,11-MOD(K51,11)))</f>
        <v/>
      </c>
      <c r="M51">
        <f>IFERROR(IF(LEN(C51)&lt;&gt;13,"",IF(VALUE(MID(C51,5,3))&gt;=800,1000,2000)+VALUE(MID(C51,5,3))),"")</f>
        <v/>
      </c>
      <c r="N51">
        <f>IFERROR(IF(M51="","",IF(AND(DAY(DATE(M51,VALUE(MID(C51,3,2)),VALUE(MID(C51,1,2))))=VALUE(MID(C51,1,2)),MONTH(DATE(M51,VALUE(MID(C51,3,2)),VALUE(MID(C51,1,2))))=VALUE(MID(C51,3,2))),DATE(M51,VALUE(MID(C51,3,2)),VALUE(MID(C51,1,2))),"")),"")</f>
        <v/>
      </c>
    </row>
    <row r="52">
      <c r="A52" s="2" t="n"/>
      <c r="B52" s="2" t="n"/>
      <c r="C52" s="3" t="n"/>
      <c r="D52" s="2" t="n"/>
      <c r="E52" s="4">
        <f>IF(A52="","",5)</f>
        <v/>
      </c>
      <c r="F52" s="2" t="n"/>
      <c r="G52" s="4" t="n"/>
      <c r="H52" s="2" t="n"/>
      <c r="I52" s="2" t="n"/>
      <c r="J52" s="2">
        <f>IF(C52="","",IF(LEN(C52)&lt;&gt;13,"Nema 13 cifara (ima "&amp;LEN(C52)&amp;")",IF(L52="","JMBG sadrži nešto što nije cifra",IF(N52="","Nepostojeći datum rođenja",IF(VALUE(MID(C52,13,1))&lt;&gt;L52,"Pogrešna kontrolna cifra - treba "&amp;L52,"✓ ispravan")))))</f>
        <v/>
      </c>
      <c r="K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L52">
        <f>IF(K52="","",IF(11-MOD(K52,11)&gt;9,0,11-MOD(K52,11)))</f>
        <v/>
      </c>
      <c r="M52">
        <f>IFERROR(IF(LEN(C52)&lt;&gt;13,"",IF(VALUE(MID(C52,5,3))&gt;=800,1000,2000)+VALUE(MID(C52,5,3))),"")</f>
        <v/>
      </c>
      <c r="N52">
        <f>IFERROR(IF(M52="","",IF(AND(DAY(DATE(M52,VALUE(MID(C52,3,2)),VALUE(MID(C52,1,2))))=VALUE(MID(C52,1,2)),MONTH(DATE(M52,VALUE(MID(C52,3,2)),VALUE(MID(C52,1,2))))=VALUE(MID(C52,3,2))),DATE(M52,VALUE(MID(C52,3,2)),VALUE(MID(C52,1,2))),"")),"")</f>
        <v/>
      </c>
    </row>
    <row r="53">
      <c r="A53" s="2" t="n"/>
      <c r="B53" s="2" t="n"/>
      <c r="C53" s="3" t="n"/>
      <c r="D53" s="2" t="n"/>
      <c r="E53" s="4">
        <f>IF(A53="","",5)</f>
        <v/>
      </c>
      <c r="F53" s="2" t="n"/>
      <c r="G53" s="4" t="n"/>
      <c r="H53" s="2" t="n"/>
      <c r="I53" s="2" t="n"/>
      <c r="J53" s="2">
        <f>IF(C53="","",IF(LEN(C53)&lt;&gt;13,"Nema 13 cifara (ima "&amp;LEN(C53)&amp;")",IF(L53="","JMBG sadrži nešto što nije cifra",IF(N53="","Nepostojeći datum rođenja",IF(VALUE(MID(C53,13,1))&lt;&gt;L53,"Pogrešna kontrolna cifra - treba "&amp;L53,"✓ ispravan")))))</f>
        <v/>
      </c>
      <c r="K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L53">
        <f>IF(K53="","",IF(11-MOD(K53,11)&gt;9,0,11-MOD(K53,11)))</f>
        <v/>
      </c>
      <c r="M53">
        <f>IFERROR(IF(LEN(C53)&lt;&gt;13,"",IF(VALUE(MID(C53,5,3))&gt;=800,1000,2000)+VALUE(MID(C53,5,3))),"")</f>
        <v/>
      </c>
      <c r="N53">
        <f>IFERROR(IF(M53="","",IF(AND(DAY(DATE(M53,VALUE(MID(C53,3,2)),VALUE(MID(C53,1,2))))=VALUE(MID(C53,1,2)),MONTH(DATE(M53,VALUE(MID(C53,3,2)),VALUE(MID(C53,1,2))))=VALUE(MID(C53,3,2))),DATE(M53,VALUE(MID(C53,3,2)),VALUE(MID(C53,1,2))),"")),"")</f>
        <v/>
      </c>
    </row>
    <row r="54">
      <c r="A54" s="2" t="n"/>
      <c r="B54" s="2" t="n"/>
      <c r="C54" s="3" t="n"/>
      <c r="D54" s="2" t="n"/>
      <c r="E54" s="4">
        <f>IF(A54="","",5)</f>
        <v/>
      </c>
      <c r="F54" s="2" t="n"/>
      <c r="G54" s="4" t="n"/>
      <c r="H54" s="2" t="n"/>
      <c r="I54" s="2" t="n"/>
      <c r="J54" s="2">
        <f>IF(C54="","",IF(LEN(C54)&lt;&gt;13,"Nema 13 cifara (ima "&amp;LEN(C54)&amp;")",IF(L54="","JMBG sadrži nešto što nije cifra",IF(N54="","Nepostojeći datum rođenja",IF(VALUE(MID(C54,13,1))&lt;&gt;L54,"Pogrešna kontrolna cifra - treba "&amp;L54,"✓ ispravan")))))</f>
        <v/>
      </c>
      <c r="K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L54">
        <f>IF(K54="","",IF(11-MOD(K54,11)&gt;9,0,11-MOD(K54,11)))</f>
        <v/>
      </c>
      <c r="M54">
        <f>IFERROR(IF(LEN(C54)&lt;&gt;13,"",IF(VALUE(MID(C54,5,3))&gt;=800,1000,2000)+VALUE(MID(C54,5,3))),"")</f>
        <v/>
      </c>
      <c r="N54">
        <f>IFERROR(IF(M54="","",IF(AND(DAY(DATE(M54,VALUE(MID(C54,3,2)),VALUE(MID(C54,1,2))))=VALUE(MID(C54,1,2)),MONTH(DATE(M54,VALUE(MID(C54,3,2)),VALUE(MID(C54,1,2))))=VALUE(MID(C54,3,2))),DATE(M54,VALUE(MID(C54,3,2)),VALUE(MID(C54,1,2))),"")),"")</f>
        <v/>
      </c>
    </row>
    <row r="55">
      <c r="A55" s="2" t="n"/>
      <c r="B55" s="2" t="n"/>
      <c r="C55" s="3" t="n"/>
      <c r="D55" s="2" t="n"/>
      <c r="E55" s="4">
        <f>IF(A55="","",5)</f>
        <v/>
      </c>
      <c r="F55" s="2" t="n"/>
      <c r="G55" s="4" t="n"/>
      <c r="H55" s="2" t="n"/>
      <c r="I55" s="2" t="n"/>
      <c r="J55" s="2">
        <f>IF(C55="","",IF(LEN(C55)&lt;&gt;13,"Nema 13 cifara (ima "&amp;LEN(C55)&amp;")",IF(L55="","JMBG sadrži nešto što nije cifra",IF(N55="","Nepostojeći datum rođenja",IF(VALUE(MID(C55,13,1))&lt;&gt;L55,"Pogrešna kontrolna cifra - treba "&amp;L55,"✓ ispravan")))))</f>
        <v/>
      </c>
      <c r="K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L55">
        <f>IF(K55="","",IF(11-MOD(K55,11)&gt;9,0,11-MOD(K55,11)))</f>
        <v/>
      </c>
      <c r="M55">
        <f>IFERROR(IF(LEN(C55)&lt;&gt;13,"",IF(VALUE(MID(C55,5,3))&gt;=800,1000,2000)+VALUE(MID(C55,5,3))),"")</f>
        <v/>
      </c>
      <c r="N55">
        <f>IFERROR(IF(M55="","",IF(AND(DAY(DATE(M55,VALUE(MID(C55,3,2)),VALUE(MID(C55,1,2))))=VALUE(MID(C55,1,2)),MONTH(DATE(M55,VALUE(MID(C55,3,2)),VALUE(MID(C55,1,2))))=VALUE(MID(C55,3,2))),DATE(M55,VALUE(MID(C55,3,2)),VALUE(MID(C55,1,2))),"")),"")</f>
        <v/>
      </c>
    </row>
    <row r="56">
      <c r="A56" s="2" t="n"/>
      <c r="B56" s="2" t="n"/>
      <c r="C56" s="3" t="n"/>
      <c r="D56" s="2" t="n"/>
      <c r="E56" s="4">
        <f>IF(A56="","",5)</f>
        <v/>
      </c>
      <c r="F56" s="2" t="n"/>
      <c r="G56" s="4" t="n"/>
      <c r="H56" s="2" t="n"/>
      <c r="I56" s="2" t="n"/>
      <c r="J56" s="2">
        <f>IF(C56="","",IF(LEN(C56)&lt;&gt;13,"Nema 13 cifara (ima "&amp;LEN(C56)&amp;")",IF(L56="","JMBG sadrži nešto što nije cifra",IF(N56="","Nepostojeći datum rođenja",IF(VALUE(MID(C56,13,1))&lt;&gt;L56,"Pogrešna kontrolna cifra - treba "&amp;L56,"✓ ispravan")))))</f>
        <v/>
      </c>
      <c r="K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L56">
        <f>IF(K56="","",IF(11-MOD(K56,11)&gt;9,0,11-MOD(K56,11)))</f>
        <v/>
      </c>
      <c r="M56">
        <f>IFERROR(IF(LEN(C56)&lt;&gt;13,"",IF(VALUE(MID(C56,5,3))&gt;=800,1000,2000)+VALUE(MID(C56,5,3))),"")</f>
        <v/>
      </c>
      <c r="N56">
        <f>IFERROR(IF(M56="","",IF(AND(DAY(DATE(M56,VALUE(MID(C56,3,2)),VALUE(MID(C56,1,2))))=VALUE(MID(C56,1,2)),MONTH(DATE(M56,VALUE(MID(C56,3,2)),VALUE(MID(C56,1,2))))=VALUE(MID(C56,3,2))),DATE(M56,VALUE(MID(C56,3,2)),VALUE(MID(C56,1,2))),"")),"")</f>
        <v/>
      </c>
    </row>
    <row r="57">
      <c r="A57" s="2" t="n"/>
      <c r="B57" s="2" t="n"/>
      <c r="C57" s="3" t="n"/>
      <c r="D57" s="2" t="n"/>
      <c r="E57" s="4">
        <f>IF(A57="","",5)</f>
        <v/>
      </c>
      <c r="F57" s="2" t="n"/>
      <c r="G57" s="4" t="n"/>
      <c r="H57" s="2" t="n"/>
      <c r="I57" s="2" t="n"/>
      <c r="J57" s="2">
        <f>IF(C57="","",IF(LEN(C57)&lt;&gt;13,"Nema 13 cifara (ima "&amp;LEN(C57)&amp;")",IF(L57="","JMBG sadrži nešto što nije cifra",IF(N57="","Nepostojeći datum rođenja",IF(VALUE(MID(C57,13,1))&lt;&gt;L57,"Pogrešna kontrolna cifra - treba "&amp;L57,"✓ ispravan")))))</f>
        <v/>
      </c>
      <c r="K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L57">
        <f>IF(K57="","",IF(11-MOD(K57,11)&gt;9,0,11-MOD(K57,11)))</f>
        <v/>
      </c>
      <c r="M57">
        <f>IFERROR(IF(LEN(C57)&lt;&gt;13,"",IF(VALUE(MID(C57,5,3))&gt;=800,1000,2000)+VALUE(MID(C57,5,3))),"")</f>
        <v/>
      </c>
      <c r="N57">
        <f>IFERROR(IF(M57="","",IF(AND(DAY(DATE(M57,VALUE(MID(C57,3,2)),VALUE(MID(C57,1,2))))=VALUE(MID(C57,1,2)),MONTH(DATE(M57,VALUE(MID(C57,3,2)),VALUE(MID(C57,1,2))))=VALUE(MID(C57,3,2))),DATE(M57,VALUE(MID(C57,3,2)),VALUE(MID(C57,1,2))),"")),"")</f>
        <v/>
      </c>
    </row>
    <row r="58">
      <c r="A58" s="2" t="n"/>
      <c r="B58" s="2" t="n"/>
      <c r="C58" s="3" t="n"/>
      <c r="D58" s="2" t="n"/>
      <c r="E58" s="4">
        <f>IF(A58="","",5)</f>
        <v/>
      </c>
      <c r="F58" s="2" t="n"/>
      <c r="G58" s="4" t="n"/>
      <c r="H58" s="2" t="n"/>
      <c r="I58" s="2" t="n"/>
      <c r="J58" s="2">
        <f>IF(C58="","",IF(LEN(C58)&lt;&gt;13,"Nema 13 cifara (ima "&amp;LEN(C58)&amp;")",IF(L58="","JMBG sadrži nešto što nije cifra",IF(N58="","Nepostojeći datum rođenja",IF(VALUE(MID(C58,13,1))&lt;&gt;L58,"Pogrešna kontrolna cifra - treba "&amp;L58,"✓ ispravan")))))</f>
        <v/>
      </c>
      <c r="K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L58">
        <f>IF(K58="","",IF(11-MOD(K58,11)&gt;9,0,11-MOD(K58,11)))</f>
        <v/>
      </c>
      <c r="M58">
        <f>IFERROR(IF(LEN(C58)&lt;&gt;13,"",IF(VALUE(MID(C58,5,3))&gt;=800,1000,2000)+VALUE(MID(C58,5,3))),"")</f>
        <v/>
      </c>
      <c r="N58">
        <f>IFERROR(IF(M58="","",IF(AND(DAY(DATE(M58,VALUE(MID(C58,3,2)),VALUE(MID(C58,1,2))))=VALUE(MID(C58,1,2)),MONTH(DATE(M58,VALUE(MID(C58,3,2)),VALUE(MID(C58,1,2))))=VALUE(MID(C58,3,2))),DATE(M58,VALUE(MID(C58,3,2)),VALUE(MID(C58,1,2))),"")),"")</f>
        <v/>
      </c>
    </row>
    <row r="59">
      <c r="A59" s="2" t="n"/>
      <c r="B59" s="2" t="n"/>
      <c r="C59" s="3" t="n"/>
      <c r="D59" s="2" t="n"/>
      <c r="E59" s="4">
        <f>IF(A59="","",5)</f>
        <v/>
      </c>
      <c r="F59" s="2" t="n"/>
      <c r="G59" s="4" t="n"/>
      <c r="H59" s="2" t="n"/>
      <c r="I59" s="2" t="n"/>
      <c r="J59" s="2">
        <f>IF(C59="","",IF(LEN(C59)&lt;&gt;13,"Nema 13 cifara (ima "&amp;LEN(C59)&amp;")",IF(L59="","JMBG sadrži nešto što nije cifra",IF(N59="","Nepostojeći datum rođenja",IF(VALUE(MID(C59,13,1))&lt;&gt;L59,"Pogrešna kontrolna cifra - treba "&amp;L59,"✓ ispravan")))))</f>
        <v/>
      </c>
      <c r="K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L59">
        <f>IF(K59="","",IF(11-MOD(K59,11)&gt;9,0,11-MOD(K59,11)))</f>
        <v/>
      </c>
      <c r="M59">
        <f>IFERROR(IF(LEN(C59)&lt;&gt;13,"",IF(VALUE(MID(C59,5,3))&gt;=800,1000,2000)+VALUE(MID(C59,5,3))),"")</f>
        <v/>
      </c>
      <c r="N59">
        <f>IFERROR(IF(M59="","",IF(AND(DAY(DATE(M59,VALUE(MID(C59,3,2)),VALUE(MID(C59,1,2))))=VALUE(MID(C59,1,2)),MONTH(DATE(M59,VALUE(MID(C59,3,2)),VALUE(MID(C59,1,2))))=VALUE(MID(C59,3,2))),DATE(M59,VALUE(MID(C59,3,2)),VALUE(MID(C59,1,2))),"")),"")</f>
        <v/>
      </c>
    </row>
    <row r="60">
      <c r="A60" s="2" t="n"/>
      <c r="B60" s="2" t="n"/>
      <c r="C60" s="3" t="n"/>
      <c r="D60" s="2" t="n"/>
      <c r="E60" s="4">
        <f>IF(A60="","",5)</f>
        <v/>
      </c>
      <c r="F60" s="2" t="n"/>
      <c r="G60" s="4" t="n"/>
      <c r="H60" s="2" t="n"/>
      <c r="I60" s="2" t="n"/>
      <c r="J60" s="2">
        <f>IF(C60="","",IF(LEN(C60)&lt;&gt;13,"Nema 13 cifara (ima "&amp;LEN(C60)&amp;")",IF(L60="","JMBG sadrži nešto što nije cifra",IF(N60="","Nepostojeći datum rođenja",IF(VALUE(MID(C60,13,1))&lt;&gt;L60,"Pogrešna kontrolna cifra - treba "&amp;L60,"✓ ispravan")))))</f>
        <v/>
      </c>
      <c r="K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L60">
        <f>IF(K60="","",IF(11-MOD(K60,11)&gt;9,0,11-MOD(K60,11)))</f>
        <v/>
      </c>
      <c r="M60">
        <f>IFERROR(IF(LEN(C60)&lt;&gt;13,"",IF(VALUE(MID(C60,5,3))&gt;=800,1000,2000)+VALUE(MID(C60,5,3))),"")</f>
        <v/>
      </c>
      <c r="N60">
        <f>IFERROR(IF(M60="","",IF(AND(DAY(DATE(M60,VALUE(MID(C60,3,2)),VALUE(MID(C60,1,2))))=VALUE(MID(C60,1,2)),MONTH(DATE(M60,VALUE(MID(C60,3,2)),VALUE(MID(C60,1,2))))=VALUE(MID(C60,3,2))),DATE(M60,VALUE(MID(C60,3,2)),VALUE(MID(C60,1,2))),"")),"")</f>
        <v/>
      </c>
    </row>
    <row r="61">
      <c r="A61" s="2" t="n"/>
      <c r="B61" s="2" t="n"/>
      <c r="C61" s="3" t="n"/>
      <c r="D61" s="2" t="n"/>
      <c r="E61" s="4">
        <f>IF(A61="","",5)</f>
        <v/>
      </c>
      <c r="F61" s="2" t="n"/>
      <c r="G61" s="4" t="n"/>
      <c r="H61" s="2" t="n"/>
      <c r="I61" s="2" t="n"/>
      <c r="J61" s="2">
        <f>IF(C61="","",IF(LEN(C61)&lt;&gt;13,"Nema 13 cifara (ima "&amp;LEN(C61)&amp;")",IF(L61="","JMBG sadrži nešto što nije cifra",IF(N61="","Nepostojeći datum rođenja",IF(VALUE(MID(C61,13,1))&lt;&gt;L61,"Pogrešna kontrolna cifra - treba "&amp;L61,"✓ ispravan")))))</f>
        <v/>
      </c>
      <c r="K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L61">
        <f>IF(K61="","",IF(11-MOD(K61,11)&gt;9,0,11-MOD(K61,11)))</f>
        <v/>
      </c>
      <c r="M61">
        <f>IFERROR(IF(LEN(C61)&lt;&gt;13,"",IF(VALUE(MID(C61,5,3))&gt;=800,1000,2000)+VALUE(MID(C61,5,3))),"")</f>
        <v/>
      </c>
      <c r="N61">
        <f>IFERROR(IF(M61="","",IF(AND(DAY(DATE(M61,VALUE(MID(C61,3,2)),VALUE(MID(C61,1,2))))=VALUE(MID(C61,1,2)),MONTH(DATE(M61,VALUE(MID(C61,3,2)),VALUE(MID(C61,1,2))))=VALUE(MID(C61,3,2))),DATE(M61,VALUE(MID(C61,3,2)),VALUE(MID(C61,1,2))),"")),"")</f>
        <v/>
      </c>
    </row>
    <row r="62">
      <c r="A62" s="2" t="n"/>
      <c r="B62" s="2" t="n"/>
      <c r="C62" s="3" t="n"/>
      <c r="D62" s="2" t="n"/>
      <c r="E62" s="4">
        <f>IF(A62="","",5)</f>
        <v/>
      </c>
      <c r="F62" s="2" t="n"/>
      <c r="G62" s="4" t="n"/>
      <c r="H62" s="2" t="n"/>
      <c r="I62" s="2" t="n"/>
      <c r="J62" s="2">
        <f>IF(C62="","",IF(LEN(C62)&lt;&gt;13,"Nema 13 cifara (ima "&amp;LEN(C62)&amp;")",IF(L62="","JMBG sadrži nešto što nije cifra",IF(N62="","Nepostojeći datum rođenja",IF(VALUE(MID(C62,13,1))&lt;&gt;L62,"Pogrešna kontrolna cifra - treba "&amp;L62,"✓ ispravan")))))</f>
        <v/>
      </c>
      <c r="K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L62">
        <f>IF(K62="","",IF(11-MOD(K62,11)&gt;9,0,11-MOD(K62,11)))</f>
        <v/>
      </c>
      <c r="M62">
        <f>IFERROR(IF(LEN(C62)&lt;&gt;13,"",IF(VALUE(MID(C62,5,3))&gt;=800,1000,2000)+VALUE(MID(C62,5,3))),"")</f>
        <v/>
      </c>
      <c r="N62">
        <f>IFERROR(IF(M62="","",IF(AND(DAY(DATE(M62,VALUE(MID(C62,3,2)),VALUE(MID(C62,1,2))))=VALUE(MID(C62,1,2)),MONTH(DATE(M62,VALUE(MID(C62,3,2)),VALUE(MID(C62,1,2))))=VALUE(MID(C62,3,2))),DATE(M62,VALUE(MID(C62,3,2)),VALUE(MID(C62,1,2))),"")),"")</f>
        <v/>
      </c>
    </row>
    <row r="63">
      <c r="A63" s="2" t="n"/>
      <c r="B63" s="2" t="n"/>
      <c r="C63" s="3" t="n"/>
      <c r="D63" s="2" t="n"/>
      <c r="E63" s="4">
        <f>IF(A63="","",5)</f>
        <v/>
      </c>
      <c r="F63" s="2" t="n"/>
      <c r="G63" s="4" t="n"/>
      <c r="H63" s="2" t="n"/>
      <c r="I63" s="2" t="n"/>
      <c r="J63" s="2">
        <f>IF(C63="","",IF(LEN(C63)&lt;&gt;13,"Nema 13 cifara (ima "&amp;LEN(C63)&amp;")",IF(L63="","JMBG sadrži nešto što nije cifra",IF(N63="","Nepostojeći datum rođenja",IF(VALUE(MID(C63,13,1))&lt;&gt;L63,"Pogrešna kontrolna cifra - treba "&amp;L63,"✓ ispravan")))))</f>
        <v/>
      </c>
      <c r="K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L63">
        <f>IF(K63="","",IF(11-MOD(K63,11)&gt;9,0,11-MOD(K63,11)))</f>
        <v/>
      </c>
      <c r="M63">
        <f>IFERROR(IF(LEN(C63)&lt;&gt;13,"",IF(VALUE(MID(C63,5,3))&gt;=800,1000,2000)+VALUE(MID(C63,5,3))),"")</f>
        <v/>
      </c>
      <c r="N63">
        <f>IFERROR(IF(M63="","",IF(AND(DAY(DATE(M63,VALUE(MID(C63,3,2)),VALUE(MID(C63,1,2))))=VALUE(MID(C63,1,2)),MONTH(DATE(M63,VALUE(MID(C63,3,2)),VALUE(MID(C63,1,2))))=VALUE(MID(C63,3,2))),DATE(M63,VALUE(MID(C63,3,2)),VALUE(MID(C63,1,2))),"")),"")</f>
        <v/>
      </c>
    </row>
    <row r="64">
      <c r="A64" s="2" t="n"/>
      <c r="B64" s="2" t="n"/>
      <c r="C64" s="3" t="n"/>
      <c r="D64" s="2" t="n"/>
      <c r="E64" s="4">
        <f>IF(A64="","",5)</f>
        <v/>
      </c>
      <c r="F64" s="2" t="n"/>
      <c r="G64" s="4" t="n"/>
      <c r="H64" s="2" t="n"/>
      <c r="I64" s="2" t="n"/>
      <c r="J64" s="2">
        <f>IF(C64="","",IF(LEN(C64)&lt;&gt;13,"Nema 13 cifara (ima "&amp;LEN(C64)&amp;")",IF(L64="","JMBG sadrži nešto što nije cifra",IF(N64="","Nepostojeći datum rođenja",IF(VALUE(MID(C64,13,1))&lt;&gt;L64,"Pogrešna kontrolna cifra - treba "&amp;L64,"✓ ispravan")))))</f>
        <v/>
      </c>
      <c r="K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L64">
        <f>IF(K64="","",IF(11-MOD(K64,11)&gt;9,0,11-MOD(K64,11)))</f>
        <v/>
      </c>
      <c r="M64">
        <f>IFERROR(IF(LEN(C64)&lt;&gt;13,"",IF(VALUE(MID(C64,5,3))&gt;=800,1000,2000)+VALUE(MID(C64,5,3))),"")</f>
        <v/>
      </c>
      <c r="N64">
        <f>IFERROR(IF(M64="","",IF(AND(DAY(DATE(M64,VALUE(MID(C64,3,2)),VALUE(MID(C64,1,2))))=VALUE(MID(C64,1,2)),MONTH(DATE(M64,VALUE(MID(C64,3,2)),VALUE(MID(C64,1,2))))=VALUE(MID(C64,3,2))),DATE(M64,VALUE(MID(C64,3,2)),VALUE(MID(C64,1,2))),"")),"")</f>
        <v/>
      </c>
    </row>
    <row r="65">
      <c r="A65" s="2" t="n"/>
      <c r="B65" s="2" t="n"/>
      <c r="C65" s="3" t="n"/>
      <c r="D65" s="2" t="n"/>
      <c r="E65" s="4">
        <f>IF(A65="","",5)</f>
        <v/>
      </c>
      <c r="F65" s="2" t="n"/>
      <c r="G65" s="4" t="n"/>
      <c r="H65" s="2" t="n"/>
      <c r="I65" s="2" t="n"/>
      <c r="J65" s="2">
        <f>IF(C65="","",IF(LEN(C65)&lt;&gt;13,"Nema 13 cifara (ima "&amp;LEN(C65)&amp;")",IF(L65="","JMBG sadrži nešto što nije cifra",IF(N65="","Nepostojeći datum rođenja",IF(VALUE(MID(C65,13,1))&lt;&gt;L65,"Pogrešna kontrolna cifra - treba "&amp;L65,"✓ ispravan")))))</f>
        <v/>
      </c>
      <c r="K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L65">
        <f>IF(K65="","",IF(11-MOD(K65,11)&gt;9,0,11-MOD(K65,11)))</f>
        <v/>
      </c>
      <c r="M65">
        <f>IFERROR(IF(LEN(C65)&lt;&gt;13,"",IF(VALUE(MID(C65,5,3))&gt;=800,1000,2000)+VALUE(MID(C65,5,3))),"")</f>
        <v/>
      </c>
      <c r="N65">
        <f>IFERROR(IF(M65="","",IF(AND(DAY(DATE(M65,VALUE(MID(C65,3,2)),VALUE(MID(C65,1,2))))=VALUE(MID(C65,1,2)),MONTH(DATE(M65,VALUE(MID(C65,3,2)),VALUE(MID(C65,1,2))))=VALUE(MID(C65,3,2))),DATE(M65,VALUE(MID(C65,3,2)),VALUE(MID(C65,1,2))),"")),"")</f>
        <v/>
      </c>
    </row>
    <row r="66">
      <c r="A66" s="2" t="n"/>
      <c r="B66" s="2" t="n"/>
      <c r="C66" s="3" t="n"/>
      <c r="D66" s="2" t="n"/>
      <c r="E66" s="4">
        <f>IF(A66="","",5)</f>
        <v/>
      </c>
      <c r="F66" s="2" t="n"/>
      <c r="G66" s="4" t="n"/>
      <c r="H66" s="2" t="n"/>
      <c r="I66" s="2" t="n"/>
      <c r="J66" s="2">
        <f>IF(C66="","",IF(LEN(C66)&lt;&gt;13,"Nema 13 cifara (ima "&amp;LEN(C66)&amp;")",IF(L66="","JMBG sadrži nešto što nije cifra",IF(N66="","Nepostojeći datum rođenja",IF(VALUE(MID(C66,13,1))&lt;&gt;L66,"Pogrešna kontrolna cifra - treba "&amp;L66,"✓ ispravan")))))</f>
        <v/>
      </c>
      <c r="K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L66">
        <f>IF(K66="","",IF(11-MOD(K66,11)&gt;9,0,11-MOD(K66,11)))</f>
        <v/>
      </c>
      <c r="M66">
        <f>IFERROR(IF(LEN(C66)&lt;&gt;13,"",IF(VALUE(MID(C66,5,3))&gt;=800,1000,2000)+VALUE(MID(C66,5,3))),"")</f>
        <v/>
      </c>
      <c r="N66">
        <f>IFERROR(IF(M66="","",IF(AND(DAY(DATE(M66,VALUE(MID(C66,3,2)),VALUE(MID(C66,1,2))))=VALUE(MID(C66,1,2)),MONTH(DATE(M66,VALUE(MID(C66,3,2)),VALUE(MID(C66,1,2))))=VALUE(MID(C66,3,2))),DATE(M66,VALUE(MID(C66,3,2)),VALUE(MID(C66,1,2))),"")),"")</f>
        <v/>
      </c>
    </row>
    <row r="67">
      <c r="A67" s="2" t="n"/>
      <c r="B67" s="2" t="n"/>
      <c r="C67" s="3" t="n"/>
      <c r="D67" s="2" t="n"/>
      <c r="E67" s="4">
        <f>IF(A67="","",5)</f>
        <v/>
      </c>
      <c r="F67" s="2" t="n"/>
      <c r="G67" s="4" t="n"/>
      <c r="H67" s="2" t="n"/>
      <c r="I67" s="2" t="n"/>
      <c r="J67" s="2">
        <f>IF(C67="","",IF(LEN(C67)&lt;&gt;13,"Nema 13 cifara (ima "&amp;LEN(C67)&amp;")",IF(L67="","JMBG sadrži nešto što nije cifra",IF(N67="","Nepostojeći datum rođenja",IF(VALUE(MID(C67,13,1))&lt;&gt;L67,"Pogrešna kontrolna cifra - treba "&amp;L67,"✓ ispravan")))))</f>
        <v/>
      </c>
      <c r="K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L67">
        <f>IF(K67="","",IF(11-MOD(K67,11)&gt;9,0,11-MOD(K67,11)))</f>
        <v/>
      </c>
      <c r="M67">
        <f>IFERROR(IF(LEN(C67)&lt;&gt;13,"",IF(VALUE(MID(C67,5,3))&gt;=800,1000,2000)+VALUE(MID(C67,5,3))),"")</f>
        <v/>
      </c>
      <c r="N67">
        <f>IFERROR(IF(M67="","",IF(AND(DAY(DATE(M67,VALUE(MID(C67,3,2)),VALUE(MID(C67,1,2))))=VALUE(MID(C67,1,2)),MONTH(DATE(M67,VALUE(MID(C67,3,2)),VALUE(MID(C67,1,2))))=VALUE(MID(C67,3,2))),DATE(M67,VALUE(MID(C67,3,2)),VALUE(MID(C67,1,2))),"")),"")</f>
        <v/>
      </c>
    </row>
    <row r="68">
      <c r="A68" s="2" t="n"/>
      <c r="B68" s="2" t="n"/>
      <c r="C68" s="3" t="n"/>
      <c r="D68" s="2" t="n"/>
      <c r="E68" s="4">
        <f>IF(A68="","",5)</f>
        <v/>
      </c>
      <c r="F68" s="2" t="n"/>
      <c r="G68" s="4" t="n"/>
      <c r="H68" s="2" t="n"/>
      <c r="I68" s="2" t="n"/>
      <c r="J68" s="2">
        <f>IF(C68="","",IF(LEN(C68)&lt;&gt;13,"Nema 13 cifara (ima "&amp;LEN(C68)&amp;")",IF(L68="","JMBG sadrži nešto što nije cifra",IF(N68="","Nepostojeći datum rođenja",IF(VALUE(MID(C68,13,1))&lt;&gt;L68,"Pogrešna kontrolna cifra - treba "&amp;L68,"✓ ispravan")))))</f>
        <v/>
      </c>
      <c r="K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L68">
        <f>IF(K68="","",IF(11-MOD(K68,11)&gt;9,0,11-MOD(K68,11)))</f>
        <v/>
      </c>
      <c r="M68">
        <f>IFERROR(IF(LEN(C68)&lt;&gt;13,"",IF(VALUE(MID(C68,5,3))&gt;=800,1000,2000)+VALUE(MID(C68,5,3))),"")</f>
        <v/>
      </c>
      <c r="N68">
        <f>IFERROR(IF(M68="","",IF(AND(DAY(DATE(M68,VALUE(MID(C68,3,2)),VALUE(MID(C68,1,2))))=VALUE(MID(C68,1,2)),MONTH(DATE(M68,VALUE(MID(C68,3,2)),VALUE(MID(C68,1,2))))=VALUE(MID(C68,3,2))),DATE(M68,VALUE(MID(C68,3,2)),VALUE(MID(C68,1,2))),"")),"")</f>
        <v/>
      </c>
    </row>
    <row r="69">
      <c r="A69" s="2" t="n"/>
      <c r="B69" s="2" t="n"/>
      <c r="C69" s="3" t="n"/>
      <c r="D69" s="2" t="n"/>
      <c r="E69" s="4">
        <f>IF(A69="","",5)</f>
        <v/>
      </c>
      <c r="F69" s="2" t="n"/>
      <c r="G69" s="4" t="n"/>
      <c r="H69" s="2" t="n"/>
      <c r="I69" s="2" t="n"/>
      <c r="J69" s="2">
        <f>IF(C69="","",IF(LEN(C69)&lt;&gt;13,"Nema 13 cifara (ima "&amp;LEN(C69)&amp;")",IF(L69="","JMBG sadrži nešto što nije cifra",IF(N69="","Nepostojeći datum rođenja",IF(VALUE(MID(C69,13,1))&lt;&gt;L69,"Pogrešna kontrolna cifra - treba "&amp;L69,"✓ ispravan")))))</f>
        <v/>
      </c>
      <c r="K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L69">
        <f>IF(K69="","",IF(11-MOD(K69,11)&gt;9,0,11-MOD(K69,11)))</f>
        <v/>
      </c>
      <c r="M69">
        <f>IFERROR(IF(LEN(C69)&lt;&gt;13,"",IF(VALUE(MID(C69,5,3))&gt;=800,1000,2000)+VALUE(MID(C69,5,3))),"")</f>
        <v/>
      </c>
      <c r="N69">
        <f>IFERROR(IF(M69="","",IF(AND(DAY(DATE(M69,VALUE(MID(C69,3,2)),VALUE(MID(C69,1,2))))=VALUE(MID(C69,1,2)),MONTH(DATE(M69,VALUE(MID(C69,3,2)),VALUE(MID(C69,1,2))))=VALUE(MID(C69,3,2))),DATE(M69,VALUE(MID(C69,3,2)),VALUE(MID(C69,1,2))),"")),"")</f>
        <v/>
      </c>
    </row>
    <row r="70">
      <c r="A70" s="2" t="n"/>
      <c r="B70" s="2" t="n"/>
      <c r="C70" s="3" t="n"/>
      <c r="D70" s="2" t="n"/>
      <c r="E70" s="4">
        <f>IF(A70="","",5)</f>
        <v/>
      </c>
      <c r="F70" s="2" t="n"/>
      <c r="G70" s="4" t="n"/>
      <c r="H70" s="2" t="n"/>
      <c r="I70" s="2" t="n"/>
      <c r="J70" s="2">
        <f>IF(C70="","",IF(LEN(C70)&lt;&gt;13,"Nema 13 cifara (ima "&amp;LEN(C70)&amp;")",IF(L70="","JMBG sadrži nešto što nije cifra",IF(N70="","Nepostojeći datum rođenja",IF(VALUE(MID(C70,13,1))&lt;&gt;L70,"Pogrešna kontrolna cifra - treba "&amp;L70,"✓ ispravan")))))</f>
        <v/>
      </c>
      <c r="K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L70">
        <f>IF(K70="","",IF(11-MOD(K70,11)&gt;9,0,11-MOD(K70,11)))</f>
        <v/>
      </c>
      <c r="M70">
        <f>IFERROR(IF(LEN(C70)&lt;&gt;13,"",IF(VALUE(MID(C70,5,3))&gt;=800,1000,2000)+VALUE(MID(C70,5,3))),"")</f>
        <v/>
      </c>
      <c r="N70">
        <f>IFERROR(IF(M70="","",IF(AND(DAY(DATE(M70,VALUE(MID(C70,3,2)),VALUE(MID(C70,1,2))))=VALUE(MID(C70,1,2)),MONTH(DATE(M70,VALUE(MID(C70,3,2)),VALUE(MID(C70,1,2))))=VALUE(MID(C70,3,2))),DATE(M70,VALUE(MID(C70,3,2)),VALUE(MID(C70,1,2))),"")),"")</f>
        <v/>
      </c>
    </row>
    <row r="71">
      <c r="A71" s="2" t="n"/>
      <c r="B71" s="2" t="n"/>
      <c r="C71" s="3" t="n"/>
      <c r="D71" s="2" t="n"/>
      <c r="E71" s="4">
        <f>IF(A71="","",5)</f>
        <v/>
      </c>
      <c r="F71" s="2" t="n"/>
      <c r="G71" s="4" t="n"/>
      <c r="H71" s="2" t="n"/>
      <c r="I71" s="2" t="n"/>
      <c r="J71" s="2">
        <f>IF(C71="","",IF(LEN(C71)&lt;&gt;13,"Nema 13 cifara (ima "&amp;LEN(C71)&amp;")",IF(L71="","JMBG sadrži nešto što nije cifra",IF(N71="","Nepostojeći datum rođenja",IF(VALUE(MID(C71,13,1))&lt;&gt;L71,"Pogrešna kontrolna cifra - treba "&amp;L71,"✓ ispravan")))))</f>
        <v/>
      </c>
      <c r="K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L71">
        <f>IF(K71="","",IF(11-MOD(K71,11)&gt;9,0,11-MOD(K71,11)))</f>
        <v/>
      </c>
      <c r="M71">
        <f>IFERROR(IF(LEN(C71)&lt;&gt;13,"",IF(VALUE(MID(C71,5,3))&gt;=800,1000,2000)+VALUE(MID(C71,5,3))),"")</f>
        <v/>
      </c>
      <c r="N71">
        <f>IFERROR(IF(M71="","",IF(AND(DAY(DATE(M71,VALUE(MID(C71,3,2)),VALUE(MID(C71,1,2))))=VALUE(MID(C71,1,2)),MONTH(DATE(M71,VALUE(MID(C71,3,2)),VALUE(MID(C71,1,2))))=VALUE(MID(C71,3,2))),DATE(M71,VALUE(MID(C71,3,2)),VALUE(MID(C71,1,2))),"")),"")</f>
        <v/>
      </c>
    </row>
    <row r="72">
      <c r="A72" s="2" t="n"/>
      <c r="B72" s="2" t="n"/>
      <c r="C72" s="3" t="n"/>
      <c r="D72" s="2" t="n"/>
      <c r="E72" s="4">
        <f>IF(A72="","",5)</f>
        <v/>
      </c>
      <c r="F72" s="2" t="n"/>
      <c r="G72" s="4" t="n"/>
      <c r="H72" s="2" t="n"/>
      <c r="I72" s="2" t="n"/>
      <c r="J72" s="2">
        <f>IF(C72="","",IF(LEN(C72)&lt;&gt;13,"Nema 13 cifara (ima "&amp;LEN(C72)&amp;")",IF(L72="","JMBG sadrži nešto što nije cifra",IF(N72="","Nepostojeći datum rođenja",IF(VALUE(MID(C72,13,1))&lt;&gt;L72,"Pogrešna kontrolna cifra - treba "&amp;L72,"✓ ispravan")))))</f>
        <v/>
      </c>
      <c r="K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L72">
        <f>IF(K72="","",IF(11-MOD(K72,11)&gt;9,0,11-MOD(K72,11)))</f>
        <v/>
      </c>
      <c r="M72">
        <f>IFERROR(IF(LEN(C72)&lt;&gt;13,"",IF(VALUE(MID(C72,5,3))&gt;=800,1000,2000)+VALUE(MID(C72,5,3))),"")</f>
        <v/>
      </c>
      <c r="N72">
        <f>IFERROR(IF(M72="","",IF(AND(DAY(DATE(M72,VALUE(MID(C72,3,2)),VALUE(MID(C72,1,2))))=VALUE(MID(C72,1,2)),MONTH(DATE(M72,VALUE(MID(C72,3,2)),VALUE(MID(C72,1,2))))=VALUE(MID(C72,3,2))),DATE(M72,VALUE(MID(C72,3,2)),VALUE(MID(C72,1,2))),"")),"")</f>
        <v/>
      </c>
    </row>
    <row r="73">
      <c r="A73" s="2" t="n"/>
      <c r="B73" s="2" t="n"/>
      <c r="C73" s="3" t="n"/>
      <c r="D73" s="2" t="n"/>
      <c r="E73" s="4">
        <f>IF(A73="","",5)</f>
        <v/>
      </c>
      <c r="F73" s="2" t="n"/>
      <c r="G73" s="4" t="n"/>
      <c r="H73" s="2" t="n"/>
      <c r="I73" s="2" t="n"/>
      <c r="J73" s="2">
        <f>IF(C73="","",IF(LEN(C73)&lt;&gt;13,"Nema 13 cifara (ima "&amp;LEN(C73)&amp;")",IF(L73="","JMBG sadrži nešto što nije cifra",IF(N73="","Nepostojeći datum rođenja",IF(VALUE(MID(C73,13,1))&lt;&gt;L73,"Pogrešna kontrolna cifra - treba "&amp;L73,"✓ ispravan")))))</f>
        <v/>
      </c>
      <c r="K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L73">
        <f>IF(K73="","",IF(11-MOD(K73,11)&gt;9,0,11-MOD(K73,11)))</f>
        <v/>
      </c>
      <c r="M73">
        <f>IFERROR(IF(LEN(C73)&lt;&gt;13,"",IF(VALUE(MID(C73,5,3))&gt;=800,1000,2000)+VALUE(MID(C73,5,3))),"")</f>
        <v/>
      </c>
      <c r="N73">
        <f>IFERROR(IF(M73="","",IF(AND(DAY(DATE(M73,VALUE(MID(C73,3,2)),VALUE(MID(C73,1,2))))=VALUE(MID(C73,1,2)),MONTH(DATE(M73,VALUE(MID(C73,3,2)),VALUE(MID(C73,1,2))))=VALUE(MID(C73,3,2))),DATE(M73,VALUE(MID(C73,3,2)),VALUE(MID(C73,1,2))),"")),"")</f>
        <v/>
      </c>
    </row>
    <row r="74">
      <c r="A74" s="2" t="n"/>
      <c r="B74" s="2" t="n"/>
      <c r="C74" s="3" t="n"/>
      <c r="D74" s="2" t="n"/>
      <c r="E74" s="4">
        <f>IF(A74="","",5)</f>
        <v/>
      </c>
      <c r="F74" s="2" t="n"/>
      <c r="G74" s="4" t="n"/>
      <c r="H74" s="2" t="n"/>
      <c r="I74" s="2" t="n"/>
      <c r="J74" s="2">
        <f>IF(C74="","",IF(LEN(C74)&lt;&gt;13,"Nema 13 cifara (ima "&amp;LEN(C74)&amp;")",IF(L74="","JMBG sadrži nešto što nije cifra",IF(N74="","Nepostojeći datum rođenja",IF(VALUE(MID(C74,13,1))&lt;&gt;L74,"Pogrešna kontrolna cifra - treba "&amp;L74,"✓ ispravan")))))</f>
        <v/>
      </c>
      <c r="K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L74">
        <f>IF(K74="","",IF(11-MOD(K74,11)&gt;9,0,11-MOD(K74,11)))</f>
        <v/>
      </c>
      <c r="M74">
        <f>IFERROR(IF(LEN(C74)&lt;&gt;13,"",IF(VALUE(MID(C74,5,3))&gt;=800,1000,2000)+VALUE(MID(C74,5,3))),"")</f>
        <v/>
      </c>
      <c r="N74">
        <f>IFERROR(IF(M74="","",IF(AND(DAY(DATE(M74,VALUE(MID(C74,3,2)),VALUE(MID(C74,1,2))))=VALUE(MID(C74,1,2)),MONTH(DATE(M74,VALUE(MID(C74,3,2)),VALUE(MID(C74,1,2))))=VALUE(MID(C74,3,2))),DATE(M74,VALUE(MID(C74,3,2)),VALUE(MID(C74,1,2))),"")),"")</f>
        <v/>
      </c>
    </row>
    <row r="75">
      <c r="A75" s="2" t="n"/>
      <c r="B75" s="2" t="n"/>
      <c r="C75" s="3" t="n"/>
      <c r="D75" s="2" t="n"/>
      <c r="E75" s="4">
        <f>IF(A75="","",5)</f>
        <v/>
      </c>
      <c r="F75" s="2" t="n"/>
      <c r="G75" s="4" t="n"/>
      <c r="H75" s="2" t="n"/>
      <c r="I75" s="2" t="n"/>
      <c r="J75" s="2">
        <f>IF(C75="","",IF(LEN(C75)&lt;&gt;13,"Nema 13 cifara (ima "&amp;LEN(C75)&amp;")",IF(L75="","JMBG sadrži nešto što nije cifra",IF(N75="","Nepostojeći datum rođenja",IF(VALUE(MID(C75,13,1))&lt;&gt;L75,"Pogrešna kontrolna cifra - treba "&amp;L75,"✓ ispravan")))))</f>
        <v/>
      </c>
      <c r="K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L75">
        <f>IF(K75="","",IF(11-MOD(K75,11)&gt;9,0,11-MOD(K75,11)))</f>
        <v/>
      </c>
      <c r="M75">
        <f>IFERROR(IF(LEN(C75)&lt;&gt;13,"",IF(VALUE(MID(C75,5,3))&gt;=800,1000,2000)+VALUE(MID(C75,5,3))),"")</f>
        <v/>
      </c>
      <c r="N75">
        <f>IFERROR(IF(M75="","",IF(AND(DAY(DATE(M75,VALUE(MID(C75,3,2)),VALUE(MID(C75,1,2))))=VALUE(MID(C75,1,2)),MONTH(DATE(M75,VALUE(MID(C75,3,2)),VALUE(MID(C75,1,2))))=VALUE(MID(C75,3,2))),DATE(M75,VALUE(MID(C75,3,2)),VALUE(MID(C75,1,2))),"")),"")</f>
        <v/>
      </c>
    </row>
    <row r="76">
      <c r="A76" s="2" t="n"/>
      <c r="B76" s="2" t="n"/>
      <c r="C76" s="3" t="n"/>
      <c r="D76" s="2" t="n"/>
      <c r="E76" s="4">
        <f>IF(A76="","",5)</f>
        <v/>
      </c>
      <c r="F76" s="2" t="n"/>
      <c r="G76" s="4" t="n"/>
      <c r="H76" s="2" t="n"/>
      <c r="I76" s="2" t="n"/>
      <c r="J76" s="2">
        <f>IF(C76="","",IF(LEN(C76)&lt;&gt;13,"Nema 13 cifara (ima "&amp;LEN(C76)&amp;")",IF(L76="","JMBG sadrži nešto što nije cifra",IF(N76="","Nepostojeći datum rođenja",IF(VALUE(MID(C76,13,1))&lt;&gt;L76,"Pogrešna kontrolna cifra - treba "&amp;L76,"✓ ispravan")))))</f>
        <v/>
      </c>
      <c r="K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L76">
        <f>IF(K76="","",IF(11-MOD(K76,11)&gt;9,0,11-MOD(K76,11)))</f>
        <v/>
      </c>
      <c r="M76">
        <f>IFERROR(IF(LEN(C76)&lt;&gt;13,"",IF(VALUE(MID(C76,5,3))&gt;=800,1000,2000)+VALUE(MID(C76,5,3))),"")</f>
        <v/>
      </c>
      <c r="N76">
        <f>IFERROR(IF(M76="","",IF(AND(DAY(DATE(M76,VALUE(MID(C76,3,2)),VALUE(MID(C76,1,2))))=VALUE(MID(C76,1,2)),MONTH(DATE(M76,VALUE(MID(C76,3,2)),VALUE(MID(C76,1,2))))=VALUE(MID(C76,3,2))),DATE(M76,VALUE(MID(C76,3,2)),VALUE(MID(C76,1,2))),"")),"")</f>
        <v/>
      </c>
    </row>
    <row r="77">
      <c r="A77" s="2" t="n"/>
      <c r="B77" s="2" t="n"/>
      <c r="C77" s="3" t="n"/>
      <c r="D77" s="2" t="n"/>
      <c r="E77" s="4">
        <f>IF(A77="","",5)</f>
        <v/>
      </c>
      <c r="F77" s="2" t="n"/>
      <c r="G77" s="4" t="n"/>
      <c r="H77" s="2" t="n"/>
      <c r="I77" s="2" t="n"/>
      <c r="J77" s="2">
        <f>IF(C77="","",IF(LEN(C77)&lt;&gt;13,"Nema 13 cifara (ima "&amp;LEN(C77)&amp;")",IF(L77="","JMBG sadrži nešto što nije cifra",IF(N77="","Nepostojeći datum rođenja",IF(VALUE(MID(C77,13,1))&lt;&gt;L77,"Pogrešna kontrolna cifra - treba "&amp;L77,"✓ ispravan")))))</f>
        <v/>
      </c>
      <c r="K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L77">
        <f>IF(K77="","",IF(11-MOD(K77,11)&gt;9,0,11-MOD(K77,11)))</f>
        <v/>
      </c>
      <c r="M77">
        <f>IFERROR(IF(LEN(C77)&lt;&gt;13,"",IF(VALUE(MID(C77,5,3))&gt;=800,1000,2000)+VALUE(MID(C77,5,3))),"")</f>
        <v/>
      </c>
      <c r="N77">
        <f>IFERROR(IF(M77="","",IF(AND(DAY(DATE(M77,VALUE(MID(C77,3,2)),VALUE(MID(C77,1,2))))=VALUE(MID(C77,1,2)),MONTH(DATE(M77,VALUE(MID(C77,3,2)),VALUE(MID(C77,1,2))))=VALUE(MID(C77,3,2))),DATE(M77,VALUE(MID(C77,3,2)),VALUE(MID(C77,1,2))),"")),"")</f>
        <v/>
      </c>
    </row>
    <row r="78">
      <c r="A78" s="2" t="n"/>
      <c r="B78" s="2" t="n"/>
      <c r="C78" s="3" t="n"/>
      <c r="D78" s="2" t="n"/>
      <c r="E78" s="4">
        <f>IF(A78="","",5)</f>
        <v/>
      </c>
      <c r="F78" s="2" t="n"/>
      <c r="G78" s="4" t="n"/>
      <c r="H78" s="2" t="n"/>
      <c r="I78" s="2" t="n"/>
      <c r="J78" s="2">
        <f>IF(C78="","",IF(LEN(C78)&lt;&gt;13,"Nema 13 cifara (ima "&amp;LEN(C78)&amp;")",IF(L78="","JMBG sadrži nešto što nije cifra",IF(N78="","Nepostojeći datum rođenja",IF(VALUE(MID(C78,13,1))&lt;&gt;L78,"Pogrešna kontrolna cifra - treba "&amp;L78,"✓ ispravan")))))</f>
        <v/>
      </c>
      <c r="K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L78">
        <f>IF(K78="","",IF(11-MOD(K78,11)&gt;9,0,11-MOD(K78,11)))</f>
        <v/>
      </c>
      <c r="M78">
        <f>IFERROR(IF(LEN(C78)&lt;&gt;13,"",IF(VALUE(MID(C78,5,3))&gt;=800,1000,2000)+VALUE(MID(C78,5,3))),"")</f>
        <v/>
      </c>
      <c r="N78">
        <f>IFERROR(IF(M78="","",IF(AND(DAY(DATE(M78,VALUE(MID(C78,3,2)),VALUE(MID(C78,1,2))))=VALUE(MID(C78,1,2)),MONTH(DATE(M78,VALUE(MID(C78,3,2)),VALUE(MID(C78,1,2))))=VALUE(MID(C78,3,2))),DATE(M78,VALUE(MID(C78,3,2)),VALUE(MID(C78,1,2))),"")),"")</f>
        <v/>
      </c>
    </row>
    <row r="79">
      <c r="A79" s="2" t="n"/>
      <c r="B79" s="2" t="n"/>
      <c r="C79" s="3" t="n"/>
      <c r="D79" s="2" t="n"/>
      <c r="E79" s="4">
        <f>IF(A79="","",5)</f>
        <v/>
      </c>
      <c r="F79" s="2" t="n"/>
      <c r="G79" s="4" t="n"/>
      <c r="H79" s="2" t="n"/>
      <c r="I79" s="2" t="n"/>
      <c r="J79" s="2">
        <f>IF(C79="","",IF(LEN(C79)&lt;&gt;13,"Nema 13 cifara (ima "&amp;LEN(C79)&amp;")",IF(L79="","JMBG sadrži nešto što nije cifra",IF(N79="","Nepostojeći datum rođenja",IF(VALUE(MID(C79,13,1))&lt;&gt;L79,"Pogrešna kontrolna cifra - treba "&amp;L79,"✓ ispravan")))))</f>
        <v/>
      </c>
      <c r="K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L79">
        <f>IF(K79="","",IF(11-MOD(K79,11)&gt;9,0,11-MOD(K79,11)))</f>
        <v/>
      </c>
      <c r="M79">
        <f>IFERROR(IF(LEN(C79)&lt;&gt;13,"",IF(VALUE(MID(C79,5,3))&gt;=800,1000,2000)+VALUE(MID(C79,5,3))),"")</f>
        <v/>
      </c>
      <c r="N79">
        <f>IFERROR(IF(M79="","",IF(AND(DAY(DATE(M79,VALUE(MID(C79,3,2)),VALUE(MID(C79,1,2))))=VALUE(MID(C79,1,2)),MONTH(DATE(M79,VALUE(MID(C79,3,2)),VALUE(MID(C79,1,2))))=VALUE(MID(C79,3,2))),DATE(M79,VALUE(MID(C79,3,2)),VALUE(MID(C79,1,2))),"")),"")</f>
        <v/>
      </c>
    </row>
    <row r="80">
      <c r="A80" s="2" t="n"/>
      <c r="B80" s="2" t="n"/>
      <c r="C80" s="3" t="n"/>
      <c r="D80" s="2" t="n"/>
      <c r="E80" s="4">
        <f>IF(A80="","",5)</f>
        <v/>
      </c>
      <c r="F80" s="2" t="n"/>
      <c r="G80" s="4" t="n"/>
      <c r="H80" s="2" t="n"/>
      <c r="I80" s="2" t="n"/>
      <c r="J80" s="2">
        <f>IF(C80="","",IF(LEN(C80)&lt;&gt;13,"Nema 13 cifara (ima "&amp;LEN(C80)&amp;")",IF(L80="","JMBG sadrži nešto što nije cifra",IF(N80="","Nepostojeći datum rođenja",IF(VALUE(MID(C80,13,1))&lt;&gt;L80,"Pogrešna kontrolna cifra - treba "&amp;L80,"✓ ispravan")))))</f>
        <v/>
      </c>
      <c r="K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L80">
        <f>IF(K80="","",IF(11-MOD(K80,11)&gt;9,0,11-MOD(K80,11)))</f>
        <v/>
      </c>
      <c r="M80">
        <f>IFERROR(IF(LEN(C80)&lt;&gt;13,"",IF(VALUE(MID(C80,5,3))&gt;=800,1000,2000)+VALUE(MID(C80,5,3))),"")</f>
        <v/>
      </c>
      <c r="N80">
        <f>IFERROR(IF(M80="","",IF(AND(DAY(DATE(M80,VALUE(MID(C80,3,2)),VALUE(MID(C80,1,2))))=VALUE(MID(C80,1,2)),MONTH(DATE(M80,VALUE(MID(C80,3,2)),VALUE(MID(C80,1,2))))=VALUE(MID(C80,3,2))),DATE(M80,VALUE(MID(C80,3,2)),VALUE(MID(C80,1,2))),"")),"")</f>
        <v/>
      </c>
    </row>
    <row r="81">
      <c r="A81" s="2" t="n"/>
      <c r="B81" s="2" t="n"/>
      <c r="C81" s="3" t="n"/>
      <c r="D81" s="2" t="n"/>
      <c r="E81" s="4">
        <f>IF(A81="","",5)</f>
        <v/>
      </c>
      <c r="F81" s="2" t="n"/>
      <c r="G81" s="4" t="n"/>
      <c r="H81" s="2" t="n"/>
      <c r="I81" s="2" t="n"/>
      <c r="J81" s="2">
        <f>IF(C81="","",IF(LEN(C81)&lt;&gt;13,"Nema 13 cifara (ima "&amp;LEN(C81)&amp;")",IF(L81="","JMBG sadrži nešto što nije cifra",IF(N81="","Nepostojeći datum rođenja",IF(VALUE(MID(C81,13,1))&lt;&gt;L81,"Pogrešna kontrolna cifra - treba "&amp;L81,"✓ ispravan")))))</f>
        <v/>
      </c>
      <c r="K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L81">
        <f>IF(K81="","",IF(11-MOD(K81,11)&gt;9,0,11-MOD(K81,11)))</f>
        <v/>
      </c>
      <c r="M81">
        <f>IFERROR(IF(LEN(C81)&lt;&gt;13,"",IF(VALUE(MID(C81,5,3))&gt;=800,1000,2000)+VALUE(MID(C81,5,3))),"")</f>
        <v/>
      </c>
      <c r="N81">
        <f>IFERROR(IF(M81="","",IF(AND(DAY(DATE(M81,VALUE(MID(C81,3,2)),VALUE(MID(C81,1,2))))=VALUE(MID(C81,1,2)),MONTH(DATE(M81,VALUE(MID(C81,3,2)),VALUE(MID(C81,1,2))))=VALUE(MID(C81,3,2))),DATE(M81,VALUE(MID(C81,3,2)),VALUE(MID(C81,1,2))),"")),"")</f>
        <v/>
      </c>
    </row>
    <row r="82">
      <c r="A82" s="2" t="n"/>
      <c r="B82" s="2" t="n"/>
      <c r="C82" s="3" t="n"/>
      <c r="D82" s="2" t="n"/>
      <c r="E82" s="4">
        <f>IF(A82="","",5)</f>
        <v/>
      </c>
      <c r="F82" s="2" t="n"/>
      <c r="G82" s="4" t="n"/>
      <c r="H82" s="2" t="n"/>
      <c r="I82" s="2" t="n"/>
      <c r="J82" s="2">
        <f>IF(C82="","",IF(LEN(C82)&lt;&gt;13,"Nema 13 cifara (ima "&amp;LEN(C82)&amp;")",IF(L82="","JMBG sadrži nešto što nije cifra",IF(N82="","Nepostojeći datum rođenja",IF(VALUE(MID(C82,13,1))&lt;&gt;L82,"Pogrešna kontrolna cifra - treba "&amp;L82,"✓ ispravan")))))</f>
        <v/>
      </c>
      <c r="K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L82">
        <f>IF(K82="","",IF(11-MOD(K82,11)&gt;9,0,11-MOD(K82,11)))</f>
        <v/>
      </c>
      <c r="M82">
        <f>IFERROR(IF(LEN(C82)&lt;&gt;13,"",IF(VALUE(MID(C82,5,3))&gt;=800,1000,2000)+VALUE(MID(C82,5,3))),"")</f>
        <v/>
      </c>
      <c r="N82">
        <f>IFERROR(IF(M82="","",IF(AND(DAY(DATE(M82,VALUE(MID(C82,3,2)),VALUE(MID(C82,1,2))))=VALUE(MID(C82,1,2)),MONTH(DATE(M82,VALUE(MID(C82,3,2)),VALUE(MID(C82,1,2))))=VALUE(MID(C82,3,2))),DATE(M82,VALUE(MID(C82,3,2)),VALUE(MID(C82,1,2))),"")),"")</f>
        <v/>
      </c>
    </row>
    <row r="83">
      <c r="A83" s="2" t="n"/>
      <c r="B83" s="2" t="n"/>
      <c r="C83" s="3" t="n"/>
      <c r="D83" s="2" t="n"/>
      <c r="E83" s="4">
        <f>IF(A83="","",5)</f>
        <v/>
      </c>
      <c r="F83" s="2" t="n"/>
      <c r="G83" s="4" t="n"/>
      <c r="H83" s="2" t="n"/>
      <c r="I83" s="2" t="n"/>
      <c r="J83" s="2">
        <f>IF(C83="","",IF(LEN(C83)&lt;&gt;13,"Nema 13 cifara (ima "&amp;LEN(C83)&amp;")",IF(L83="","JMBG sadrži nešto što nije cifra",IF(N83="","Nepostojeći datum rođenja",IF(VALUE(MID(C83,13,1))&lt;&gt;L83,"Pogrešna kontrolna cifra - treba "&amp;L83,"✓ ispravan")))))</f>
        <v/>
      </c>
      <c r="K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L83">
        <f>IF(K83="","",IF(11-MOD(K83,11)&gt;9,0,11-MOD(K83,11)))</f>
        <v/>
      </c>
      <c r="M83">
        <f>IFERROR(IF(LEN(C83)&lt;&gt;13,"",IF(VALUE(MID(C83,5,3))&gt;=800,1000,2000)+VALUE(MID(C83,5,3))),"")</f>
        <v/>
      </c>
      <c r="N83">
        <f>IFERROR(IF(M83="","",IF(AND(DAY(DATE(M83,VALUE(MID(C83,3,2)),VALUE(MID(C83,1,2))))=VALUE(MID(C83,1,2)),MONTH(DATE(M83,VALUE(MID(C83,3,2)),VALUE(MID(C83,1,2))))=VALUE(MID(C83,3,2))),DATE(M83,VALUE(MID(C83,3,2)),VALUE(MID(C83,1,2))),"")),"")</f>
        <v/>
      </c>
    </row>
    <row r="84">
      <c r="A84" s="2" t="n"/>
      <c r="B84" s="2" t="n"/>
      <c r="C84" s="3" t="n"/>
      <c r="D84" s="2" t="n"/>
      <c r="E84" s="4">
        <f>IF(A84="","",5)</f>
        <v/>
      </c>
      <c r="F84" s="2" t="n"/>
      <c r="G84" s="4" t="n"/>
      <c r="H84" s="2" t="n"/>
      <c r="I84" s="2" t="n"/>
      <c r="J84" s="2">
        <f>IF(C84="","",IF(LEN(C84)&lt;&gt;13,"Nema 13 cifara (ima "&amp;LEN(C84)&amp;")",IF(L84="","JMBG sadrži nešto što nije cifra",IF(N84="","Nepostojeći datum rođenja",IF(VALUE(MID(C84,13,1))&lt;&gt;L84,"Pogrešna kontrolna cifra - treba "&amp;L84,"✓ ispravan")))))</f>
        <v/>
      </c>
      <c r="K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L84">
        <f>IF(K84="","",IF(11-MOD(K84,11)&gt;9,0,11-MOD(K84,11)))</f>
        <v/>
      </c>
      <c r="M84">
        <f>IFERROR(IF(LEN(C84)&lt;&gt;13,"",IF(VALUE(MID(C84,5,3))&gt;=800,1000,2000)+VALUE(MID(C84,5,3))),"")</f>
        <v/>
      </c>
      <c r="N84">
        <f>IFERROR(IF(M84="","",IF(AND(DAY(DATE(M84,VALUE(MID(C84,3,2)),VALUE(MID(C84,1,2))))=VALUE(MID(C84,1,2)),MONTH(DATE(M84,VALUE(MID(C84,3,2)),VALUE(MID(C84,1,2))))=VALUE(MID(C84,3,2))),DATE(M84,VALUE(MID(C84,3,2)),VALUE(MID(C84,1,2))),"")),"")</f>
        <v/>
      </c>
    </row>
    <row r="85">
      <c r="A85" s="2" t="n"/>
      <c r="B85" s="2" t="n"/>
      <c r="C85" s="3" t="n"/>
      <c r="D85" s="2" t="n"/>
      <c r="E85" s="4">
        <f>IF(A85="","",5)</f>
        <v/>
      </c>
      <c r="F85" s="2" t="n"/>
      <c r="G85" s="4" t="n"/>
      <c r="H85" s="2" t="n"/>
      <c r="I85" s="2" t="n"/>
      <c r="J85" s="2">
        <f>IF(C85="","",IF(LEN(C85)&lt;&gt;13,"Nema 13 cifara (ima "&amp;LEN(C85)&amp;")",IF(L85="","JMBG sadrži nešto što nije cifra",IF(N85="","Nepostojeći datum rođenja",IF(VALUE(MID(C85,13,1))&lt;&gt;L85,"Pogrešna kontrolna cifra - treba "&amp;L85,"✓ ispravan")))))</f>
        <v/>
      </c>
      <c r="K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L85">
        <f>IF(K85="","",IF(11-MOD(K85,11)&gt;9,0,11-MOD(K85,11)))</f>
        <v/>
      </c>
      <c r="M85">
        <f>IFERROR(IF(LEN(C85)&lt;&gt;13,"",IF(VALUE(MID(C85,5,3))&gt;=800,1000,2000)+VALUE(MID(C85,5,3))),"")</f>
        <v/>
      </c>
      <c r="N85">
        <f>IFERROR(IF(M85="","",IF(AND(DAY(DATE(M85,VALUE(MID(C85,3,2)),VALUE(MID(C85,1,2))))=VALUE(MID(C85,1,2)),MONTH(DATE(M85,VALUE(MID(C85,3,2)),VALUE(MID(C85,1,2))))=VALUE(MID(C85,3,2))),DATE(M85,VALUE(MID(C85,3,2)),VALUE(MID(C85,1,2))),"")),"")</f>
        <v/>
      </c>
    </row>
    <row r="86">
      <c r="A86" s="2" t="n"/>
      <c r="B86" s="2" t="n"/>
      <c r="C86" s="3" t="n"/>
      <c r="D86" s="2" t="n"/>
      <c r="E86" s="4">
        <f>IF(A86="","",5)</f>
        <v/>
      </c>
      <c r="F86" s="2" t="n"/>
      <c r="G86" s="4" t="n"/>
      <c r="H86" s="2" t="n"/>
      <c r="I86" s="2" t="n"/>
      <c r="J86" s="2">
        <f>IF(C86="","",IF(LEN(C86)&lt;&gt;13,"Nema 13 cifara (ima "&amp;LEN(C86)&amp;")",IF(L86="","JMBG sadrži nešto što nije cifra",IF(N86="","Nepostojeći datum rođenja",IF(VALUE(MID(C86,13,1))&lt;&gt;L86,"Pogrešna kontrolna cifra - treba "&amp;L86,"✓ ispravan")))))</f>
        <v/>
      </c>
      <c r="K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L86">
        <f>IF(K86="","",IF(11-MOD(K86,11)&gt;9,0,11-MOD(K86,11)))</f>
        <v/>
      </c>
      <c r="M86">
        <f>IFERROR(IF(LEN(C86)&lt;&gt;13,"",IF(VALUE(MID(C86,5,3))&gt;=800,1000,2000)+VALUE(MID(C86,5,3))),"")</f>
        <v/>
      </c>
      <c r="N86">
        <f>IFERROR(IF(M86="","",IF(AND(DAY(DATE(M86,VALUE(MID(C86,3,2)),VALUE(MID(C86,1,2))))=VALUE(MID(C86,1,2)),MONTH(DATE(M86,VALUE(MID(C86,3,2)),VALUE(MID(C86,1,2))))=VALUE(MID(C86,3,2))),DATE(M86,VALUE(MID(C86,3,2)),VALUE(MID(C86,1,2))),"")),"")</f>
        <v/>
      </c>
    </row>
    <row r="87">
      <c r="A87" s="2" t="n"/>
      <c r="B87" s="2" t="n"/>
      <c r="C87" s="3" t="n"/>
      <c r="D87" s="2" t="n"/>
      <c r="E87" s="4">
        <f>IF(A87="","",5)</f>
        <v/>
      </c>
      <c r="F87" s="2" t="n"/>
      <c r="G87" s="4" t="n"/>
      <c r="H87" s="2" t="n"/>
      <c r="I87" s="2" t="n"/>
      <c r="J87" s="2">
        <f>IF(C87="","",IF(LEN(C87)&lt;&gt;13,"Nema 13 cifara (ima "&amp;LEN(C87)&amp;")",IF(L87="","JMBG sadrži nešto što nije cifra",IF(N87="","Nepostojeći datum rođenja",IF(VALUE(MID(C87,13,1))&lt;&gt;L87,"Pogrešna kontrolna cifra - treba "&amp;L87,"✓ ispravan")))))</f>
        <v/>
      </c>
      <c r="K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L87">
        <f>IF(K87="","",IF(11-MOD(K87,11)&gt;9,0,11-MOD(K87,11)))</f>
        <v/>
      </c>
      <c r="M87">
        <f>IFERROR(IF(LEN(C87)&lt;&gt;13,"",IF(VALUE(MID(C87,5,3))&gt;=800,1000,2000)+VALUE(MID(C87,5,3))),"")</f>
        <v/>
      </c>
      <c r="N87">
        <f>IFERROR(IF(M87="","",IF(AND(DAY(DATE(M87,VALUE(MID(C87,3,2)),VALUE(MID(C87,1,2))))=VALUE(MID(C87,1,2)),MONTH(DATE(M87,VALUE(MID(C87,3,2)),VALUE(MID(C87,1,2))))=VALUE(MID(C87,3,2))),DATE(M87,VALUE(MID(C87,3,2)),VALUE(MID(C87,1,2))),"")),"")</f>
        <v/>
      </c>
    </row>
    <row r="88">
      <c r="A88" s="2" t="n"/>
      <c r="B88" s="2" t="n"/>
      <c r="C88" s="3" t="n"/>
      <c r="D88" s="2" t="n"/>
      <c r="E88" s="4">
        <f>IF(A88="","",5)</f>
        <v/>
      </c>
      <c r="F88" s="2" t="n"/>
      <c r="G88" s="4" t="n"/>
      <c r="H88" s="2" t="n"/>
      <c r="I88" s="2" t="n"/>
      <c r="J88" s="2">
        <f>IF(C88="","",IF(LEN(C88)&lt;&gt;13,"Nema 13 cifara (ima "&amp;LEN(C88)&amp;")",IF(L88="","JMBG sadrži nešto što nije cifra",IF(N88="","Nepostojeći datum rođenja",IF(VALUE(MID(C88,13,1))&lt;&gt;L88,"Pogrešna kontrolna cifra - treba "&amp;L88,"✓ ispravan")))))</f>
        <v/>
      </c>
      <c r="K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L88">
        <f>IF(K88="","",IF(11-MOD(K88,11)&gt;9,0,11-MOD(K88,11)))</f>
        <v/>
      </c>
      <c r="M88">
        <f>IFERROR(IF(LEN(C88)&lt;&gt;13,"",IF(VALUE(MID(C88,5,3))&gt;=800,1000,2000)+VALUE(MID(C88,5,3))),"")</f>
        <v/>
      </c>
      <c r="N88">
        <f>IFERROR(IF(M88="","",IF(AND(DAY(DATE(M88,VALUE(MID(C88,3,2)),VALUE(MID(C88,1,2))))=VALUE(MID(C88,1,2)),MONTH(DATE(M88,VALUE(MID(C88,3,2)),VALUE(MID(C88,1,2))))=VALUE(MID(C88,3,2))),DATE(M88,VALUE(MID(C88,3,2)),VALUE(MID(C88,1,2))),"")),"")</f>
        <v/>
      </c>
    </row>
    <row r="89">
      <c r="A89" s="2" t="n"/>
      <c r="B89" s="2" t="n"/>
      <c r="C89" s="3" t="n"/>
      <c r="D89" s="2" t="n"/>
      <c r="E89" s="4">
        <f>IF(A89="","",5)</f>
        <v/>
      </c>
      <c r="F89" s="2" t="n"/>
      <c r="G89" s="4" t="n"/>
      <c r="H89" s="2" t="n"/>
      <c r="I89" s="2" t="n"/>
      <c r="J89" s="2">
        <f>IF(C89="","",IF(LEN(C89)&lt;&gt;13,"Nema 13 cifara (ima "&amp;LEN(C89)&amp;")",IF(L89="","JMBG sadrži nešto što nije cifra",IF(N89="","Nepostojeći datum rođenja",IF(VALUE(MID(C89,13,1))&lt;&gt;L89,"Pogrešna kontrolna cifra - treba "&amp;L89,"✓ ispravan")))))</f>
        <v/>
      </c>
      <c r="K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L89">
        <f>IF(K89="","",IF(11-MOD(K89,11)&gt;9,0,11-MOD(K89,11)))</f>
        <v/>
      </c>
      <c r="M89">
        <f>IFERROR(IF(LEN(C89)&lt;&gt;13,"",IF(VALUE(MID(C89,5,3))&gt;=800,1000,2000)+VALUE(MID(C89,5,3))),"")</f>
        <v/>
      </c>
      <c r="N89">
        <f>IFERROR(IF(M89="","",IF(AND(DAY(DATE(M89,VALUE(MID(C89,3,2)),VALUE(MID(C89,1,2))))=VALUE(MID(C89,1,2)),MONTH(DATE(M89,VALUE(MID(C89,3,2)),VALUE(MID(C89,1,2))))=VALUE(MID(C89,3,2))),DATE(M89,VALUE(MID(C89,3,2)),VALUE(MID(C89,1,2))),"")),"")</f>
        <v/>
      </c>
    </row>
    <row r="90">
      <c r="A90" s="2" t="n"/>
      <c r="B90" s="2" t="n"/>
      <c r="C90" s="3" t="n"/>
      <c r="D90" s="2" t="n"/>
      <c r="E90" s="4">
        <f>IF(A90="","",5)</f>
        <v/>
      </c>
      <c r="F90" s="2" t="n"/>
      <c r="G90" s="4" t="n"/>
      <c r="H90" s="2" t="n"/>
      <c r="I90" s="2" t="n"/>
      <c r="J90" s="2">
        <f>IF(C90="","",IF(LEN(C90)&lt;&gt;13,"Nema 13 cifara (ima "&amp;LEN(C90)&amp;")",IF(L90="","JMBG sadrži nešto što nije cifra",IF(N90="","Nepostojeći datum rođenja",IF(VALUE(MID(C90,13,1))&lt;&gt;L90,"Pogrešna kontrolna cifra - treba "&amp;L90,"✓ ispravan")))))</f>
        <v/>
      </c>
      <c r="K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L90">
        <f>IF(K90="","",IF(11-MOD(K90,11)&gt;9,0,11-MOD(K90,11)))</f>
        <v/>
      </c>
      <c r="M90">
        <f>IFERROR(IF(LEN(C90)&lt;&gt;13,"",IF(VALUE(MID(C90,5,3))&gt;=800,1000,2000)+VALUE(MID(C90,5,3))),"")</f>
        <v/>
      </c>
      <c r="N90">
        <f>IFERROR(IF(M90="","",IF(AND(DAY(DATE(M90,VALUE(MID(C90,3,2)),VALUE(MID(C90,1,2))))=VALUE(MID(C90,1,2)),MONTH(DATE(M90,VALUE(MID(C90,3,2)),VALUE(MID(C90,1,2))))=VALUE(MID(C90,3,2))),DATE(M90,VALUE(MID(C90,3,2)),VALUE(MID(C90,1,2))),"")),"")</f>
        <v/>
      </c>
    </row>
    <row r="91">
      <c r="A91" s="2" t="n"/>
      <c r="B91" s="2" t="n"/>
      <c r="C91" s="3" t="n"/>
      <c r="D91" s="2" t="n"/>
      <c r="E91" s="4">
        <f>IF(A91="","",5)</f>
        <v/>
      </c>
      <c r="F91" s="2" t="n"/>
      <c r="G91" s="4" t="n"/>
      <c r="H91" s="2" t="n"/>
      <c r="I91" s="2" t="n"/>
      <c r="J91" s="2">
        <f>IF(C91="","",IF(LEN(C91)&lt;&gt;13,"Nema 13 cifara (ima "&amp;LEN(C91)&amp;")",IF(L91="","JMBG sadrži nešto što nije cifra",IF(N91="","Nepostojeći datum rođenja",IF(VALUE(MID(C91,13,1))&lt;&gt;L91,"Pogrešna kontrolna cifra - treba "&amp;L91,"✓ ispravan")))))</f>
        <v/>
      </c>
      <c r="K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L91">
        <f>IF(K91="","",IF(11-MOD(K91,11)&gt;9,0,11-MOD(K91,11)))</f>
        <v/>
      </c>
      <c r="M91">
        <f>IFERROR(IF(LEN(C91)&lt;&gt;13,"",IF(VALUE(MID(C91,5,3))&gt;=800,1000,2000)+VALUE(MID(C91,5,3))),"")</f>
        <v/>
      </c>
      <c r="N91">
        <f>IFERROR(IF(M91="","",IF(AND(DAY(DATE(M91,VALUE(MID(C91,3,2)),VALUE(MID(C91,1,2))))=VALUE(MID(C91,1,2)),MONTH(DATE(M91,VALUE(MID(C91,3,2)),VALUE(MID(C91,1,2))))=VALUE(MID(C91,3,2))),DATE(M91,VALUE(MID(C91,3,2)),VALUE(MID(C91,1,2))),"")),"")</f>
        <v/>
      </c>
    </row>
    <row r="92">
      <c r="A92" s="2" t="n"/>
      <c r="B92" s="2" t="n"/>
      <c r="C92" s="3" t="n"/>
      <c r="D92" s="2" t="n"/>
      <c r="E92" s="4">
        <f>IF(A92="","",5)</f>
        <v/>
      </c>
      <c r="F92" s="2" t="n"/>
      <c r="G92" s="4" t="n"/>
      <c r="H92" s="2" t="n"/>
      <c r="I92" s="2" t="n"/>
      <c r="J92" s="2">
        <f>IF(C92="","",IF(LEN(C92)&lt;&gt;13,"Nema 13 cifara (ima "&amp;LEN(C92)&amp;")",IF(L92="","JMBG sadrži nešto što nije cifra",IF(N92="","Nepostojeći datum rođenja",IF(VALUE(MID(C92,13,1))&lt;&gt;L92,"Pogrešna kontrolna cifra - treba "&amp;L92,"✓ ispravan")))))</f>
        <v/>
      </c>
      <c r="K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L92">
        <f>IF(K92="","",IF(11-MOD(K92,11)&gt;9,0,11-MOD(K92,11)))</f>
        <v/>
      </c>
      <c r="M92">
        <f>IFERROR(IF(LEN(C92)&lt;&gt;13,"",IF(VALUE(MID(C92,5,3))&gt;=800,1000,2000)+VALUE(MID(C92,5,3))),"")</f>
        <v/>
      </c>
      <c r="N92">
        <f>IFERROR(IF(M92="","",IF(AND(DAY(DATE(M92,VALUE(MID(C92,3,2)),VALUE(MID(C92,1,2))))=VALUE(MID(C92,1,2)),MONTH(DATE(M92,VALUE(MID(C92,3,2)),VALUE(MID(C92,1,2))))=VALUE(MID(C92,3,2))),DATE(M92,VALUE(MID(C92,3,2)),VALUE(MID(C92,1,2))),"")),"")</f>
        <v/>
      </c>
    </row>
    <row r="93">
      <c r="A93" s="2" t="n"/>
      <c r="B93" s="2" t="n"/>
      <c r="C93" s="3" t="n"/>
      <c r="D93" s="2" t="n"/>
      <c r="E93" s="4">
        <f>IF(A93="","",5)</f>
        <v/>
      </c>
      <c r="F93" s="2" t="n"/>
      <c r="G93" s="4" t="n"/>
      <c r="H93" s="2" t="n"/>
      <c r="I93" s="2" t="n"/>
      <c r="J93" s="2">
        <f>IF(C93="","",IF(LEN(C93)&lt;&gt;13,"Nema 13 cifara (ima "&amp;LEN(C93)&amp;")",IF(L93="","JMBG sadrži nešto što nije cifra",IF(N93="","Nepostojeći datum rođenja",IF(VALUE(MID(C93,13,1))&lt;&gt;L93,"Pogrešna kontrolna cifra - treba "&amp;L93,"✓ ispravan")))))</f>
        <v/>
      </c>
      <c r="K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L93">
        <f>IF(K93="","",IF(11-MOD(K93,11)&gt;9,0,11-MOD(K93,11)))</f>
        <v/>
      </c>
      <c r="M93">
        <f>IFERROR(IF(LEN(C93)&lt;&gt;13,"",IF(VALUE(MID(C93,5,3))&gt;=800,1000,2000)+VALUE(MID(C93,5,3))),"")</f>
        <v/>
      </c>
      <c r="N93">
        <f>IFERROR(IF(M93="","",IF(AND(DAY(DATE(M93,VALUE(MID(C93,3,2)),VALUE(MID(C93,1,2))))=VALUE(MID(C93,1,2)),MONTH(DATE(M93,VALUE(MID(C93,3,2)),VALUE(MID(C93,1,2))))=VALUE(MID(C93,3,2))),DATE(M93,VALUE(MID(C93,3,2)),VALUE(MID(C93,1,2))),"")),"")</f>
        <v/>
      </c>
    </row>
    <row r="94">
      <c r="A94" s="2" t="n"/>
      <c r="B94" s="2" t="n"/>
      <c r="C94" s="3" t="n"/>
      <c r="D94" s="2" t="n"/>
      <c r="E94" s="4">
        <f>IF(A94="","",5)</f>
        <v/>
      </c>
      <c r="F94" s="2" t="n"/>
      <c r="G94" s="4" t="n"/>
      <c r="H94" s="2" t="n"/>
      <c r="I94" s="2" t="n"/>
      <c r="J94" s="2">
        <f>IF(C94="","",IF(LEN(C94)&lt;&gt;13,"Nema 13 cifara (ima "&amp;LEN(C94)&amp;")",IF(L94="","JMBG sadrži nešto što nije cifra",IF(N94="","Nepostojeći datum rođenja",IF(VALUE(MID(C94,13,1))&lt;&gt;L94,"Pogrešna kontrolna cifra - treba "&amp;L94,"✓ ispravan")))))</f>
        <v/>
      </c>
      <c r="K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L94">
        <f>IF(K94="","",IF(11-MOD(K94,11)&gt;9,0,11-MOD(K94,11)))</f>
        <v/>
      </c>
      <c r="M94">
        <f>IFERROR(IF(LEN(C94)&lt;&gt;13,"",IF(VALUE(MID(C94,5,3))&gt;=800,1000,2000)+VALUE(MID(C94,5,3))),"")</f>
        <v/>
      </c>
      <c r="N94">
        <f>IFERROR(IF(M94="","",IF(AND(DAY(DATE(M94,VALUE(MID(C94,3,2)),VALUE(MID(C94,1,2))))=VALUE(MID(C94,1,2)),MONTH(DATE(M94,VALUE(MID(C94,3,2)),VALUE(MID(C94,1,2))))=VALUE(MID(C94,3,2))),DATE(M94,VALUE(MID(C94,3,2)),VALUE(MID(C94,1,2))),"")),"")</f>
        <v/>
      </c>
    </row>
    <row r="95">
      <c r="A95" s="2" t="n"/>
      <c r="B95" s="2" t="n"/>
      <c r="C95" s="3" t="n"/>
      <c r="D95" s="2" t="n"/>
      <c r="E95" s="4">
        <f>IF(A95="","",5)</f>
        <v/>
      </c>
      <c r="F95" s="2" t="n"/>
      <c r="G95" s="4" t="n"/>
      <c r="H95" s="2" t="n"/>
      <c r="I95" s="2" t="n"/>
      <c r="J95" s="2">
        <f>IF(C95="","",IF(LEN(C95)&lt;&gt;13,"Nema 13 cifara (ima "&amp;LEN(C95)&amp;")",IF(L95="","JMBG sadrži nešto što nije cifra",IF(N95="","Nepostojeći datum rođenja",IF(VALUE(MID(C95,13,1))&lt;&gt;L95,"Pogrešna kontrolna cifra - treba "&amp;L95,"✓ ispravan")))))</f>
        <v/>
      </c>
      <c r="K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L95">
        <f>IF(K95="","",IF(11-MOD(K95,11)&gt;9,0,11-MOD(K95,11)))</f>
        <v/>
      </c>
      <c r="M95">
        <f>IFERROR(IF(LEN(C95)&lt;&gt;13,"",IF(VALUE(MID(C95,5,3))&gt;=800,1000,2000)+VALUE(MID(C95,5,3))),"")</f>
        <v/>
      </c>
      <c r="N95">
        <f>IFERROR(IF(M95="","",IF(AND(DAY(DATE(M95,VALUE(MID(C95,3,2)),VALUE(MID(C95,1,2))))=VALUE(MID(C95,1,2)),MONTH(DATE(M95,VALUE(MID(C95,3,2)),VALUE(MID(C95,1,2))))=VALUE(MID(C95,3,2))),DATE(M95,VALUE(MID(C95,3,2)),VALUE(MID(C95,1,2))),"")),"")</f>
        <v/>
      </c>
    </row>
    <row r="96">
      <c r="A96" s="2" t="n"/>
      <c r="B96" s="2" t="n"/>
      <c r="C96" s="3" t="n"/>
      <c r="D96" s="2" t="n"/>
      <c r="E96" s="4">
        <f>IF(A96="","",5)</f>
        <v/>
      </c>
      <c r="F96" s="2" t="n"/>
      <c r="G96" s="4" t="n"/>
      <c r="H96" s="2" t="n"/>
      <c r="I96" s="2" t="n"/>
      <c r="J96" s="2">
        <f>IF(C96="","",IF(LEN(C96)&lt;&gt;13,"Nema 13 cifara (ima "&amp;LEN(C96)&amp;")",IF(L96="","JMBG sadrži nešto što nije cifra",IF(N96="","Nepostojeći datum rođenja",IF(VALUE(MID(C96,13,1))&lt;&gt;L96,"Pogrešna kontrolna cifra - treba "&amp;L96,"✓ ispravan")))))</f>
        <v/>
      </c>
      <c r="K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L96">
        <f>IF(K96="","",IF(11-MOD(K96,11)&gt;9,0,11-MOD(K96,11)))</f>
        <v/>
      </c>
      <c r="M96">
        <f>IFERROR(IF(LEN(C96)&lt;&gt;13,"",IF(VALUE(MID(C96,5,3))&gt;=800,1000,2000)+VALUE(MID(C96,5,3))),"")</f>
        <v/>
      </c>
      <c r="N96">
        <f>IFERROR(IF(M96="","",IF(AND(DAY(DATE(M96,VALUE(MID(C96,3,2)),VALUE(MID(C96,1,2))))=VALUE(MID(C96,1,2)),MONTH(DATE(M96,VALUE(MID(C96,3,2)),VALUE(MID(C96,1,2))))=VALUE(MID(C96,3,2))),DATE(M96,VALUE(MID(C96,3,2)),VALUE(MID(C96,1,2))),"")),"")</f>
        <v/>
      </c>
    </row>
    <row r="97">
      <c r="A97" s="2" t="n"/>
      <c r="B97" s="2" t="n"/>
      <c r="C97" s="3" t="n"/>
      <c r="D97" s="2" t="n"/>
      <c r="E97" s="4">
        <f>IF(A97="","",5)</f>
        <v/>
      </c>
      <c r="F97" s="2" t="n"/>
      <c r="G97" s="4" t="n"/>
      <c r="H97" s="2" t="n"/>
      <c r="I97" s="2" t="n"/>
      <c r="J97" s="2">
        <f>IF(C97="","",IF(LEN(C97)&lt;&gt;13,"Nema 13 cifara (ima "&amp;LEN(C97)&amp;")",IF(L97="","JMBG sadrži nešto što nije cifra",IF(N97="","Nepostojeći datum rođenja",IF(VALUE(MID(C97,13,1))&lt;&gt;L97,"Pogrešna kontrolna cifra - treba "&amp;L97,"✓ ispravan")))))</f>
        <v/>
      </c>
      <c r="K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L97">
        <f>IF(K97="","",IF(11-MOD(K97,11)&gt;9,0,11-MOD(K97,11)))</f>
        <v/>
      </c>
      <c r="M97">
        <f>IFERROR(IF(LEN(C97)&lt;&gt;13,"",IF(VALUE(MID(C97,5,3))&gt;=800,1000,2000)+VALUE(MID(C97,5,3))),"")</f>
        <v/>
      </c>
      <c r="N97">
        <f>IFERROR(IF(M97="","",IF(AND(DAY(DATE(M97,VALUE(MID(C97,3,2)),VALUE(MID(C97,1,2))))=VALUE(MID(C97,1,2)),MONTH(DATE(M97,VALUE(MID(C97,3,2)),VALUE(MID(C97,1,2))))=VALUE(MID(C97,3,2))),DATE(M97,VALUE(MID(C97,3,2)),VALUE(MID(C97,1,2))),"")),"")</f>
        <v/>
      </c>
    </row>
    <row r="98">
      <c r="A98" s="2" t="n"/>
      <c r="B98" s="2" t="n"/>
      <c r="C98" s="3" t="n"/>
      <c r="D98" s="2" t="n"/>
      <c r="E98" s="4">
        <f>IF(A98="","",5)</f>
        <v/>
      </c>
      <c r="F98" s="2" t="n"/>
      <c r="G98" s="4" t="n"/>
      <c r="H98" s="2" t="n"/>
      <c r="I98" s="2" t="n"/>
      <c r="J98" s="2">
        <f>IF(C98="","",IF(LEN(C98)&lt;&gt;13,"Nema 13 cifara (ima "&amp;LEN(C98)&amp;")",IF(L98="","JMBG sadrži nešto što nije cifra",IF(N98="","Nepostojeći datum rođenja",IF(VALUE(MID(C98,13,1))&lt;&gt;L98,"Pogrešna kontrolna cifra - treba "&amp;L98,"✓ ispravan")))))</f>
        <v/>
      </c>
      <c r="K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L98">
        <f>IF(K98="","",IF(11-MOD(K98,11)&gt;9,0,11-MOD(K98,11)))</f>
        <v/>
      </c>
      <c r="M98">
        <f>IFERROR(IF(LEN(C98)&lt;&gt;13,"",IF(VALUE(MID(C98,5,3))&gt;=800,1000,2000)+VALUE(MID(C98,5,3))),"")</f>
        <v/>
      </c>
      <c r="N98">
        <f>IFERROR(IF(M98="","",IF(AND(DAY(DATE(M98,VALUE(MID(C98,3,2)),VALUE(MID(C98,1,2))))=VALUE(MID(C98,1,2)),MONTH(DATE(M98,VALUE(MID(C98,3,2)),VALUE(MID(C98,1,2))))=VALUE(MID(C98,3,2))),DATE(M98,VALUE(MID(C98,3,2)),VALUE(MID(C98,1,2))),"")),"")</f>
        <v/>
      </c>
    </row>
    <row r="99">
      <c r="A99" s="2" t="n"/>
      <c r="B99" s="2" t="n"/>
      <c r="C99" s="3" t="n"/>
      <c r="D99" s="2" t="n"/>
      <c r="E99" s="4">
        <f>IF(A99="","",5)</f>
        <v/>
      </c>
      <c r="F99" s="2" t="n"/>
      <c r="G99" s="4" t="n"/>
      <c r="H99" s="2" t="n"/>
      <c r="I99" s="2" t="n"/>
      <c r="J99" s="2">
        <f>IF(C99="","",IF(LEN(C99)&lt;&gt;13,"Nema 13 cifara (ima "&amp;LEN(C99)&amp;")",IF(L99="","JMBG sadrži nešto što nije cifra",IF(N99="","Nepostojeći datum rođenja",IF(VALUE(MID(C99,13,1))&lt;&gt;L99,"Pogrešna kontrolna cifra - treba "&amp;L99,"✓ ispravan")))))</f>
        <v/>
      </c>
      <c r="K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L99">
        <f>IF(K99="","",IF(11-MOD(K99,11)&gt;9,0,11-MOD(K99,11)))</f>
        <v/>
      </c>
      <c r="M99">
        <f>IFERROR(IF(LEN(C99)&lt;&gt;13,"",IF(VALUE(MID(C99,5,3))&gt;=800,1000,2000)+VALUE(MID(C99,5,3))),"")</f>
        <v/>
      </c>
      <c r="N99">
        <f>IFERROR(IF(M99="","",IF(AND(DAY(DATE(M99,VALUE(MID(C99,3,2)),VALUE(MID(C99,1,2))))=VALUE(MID(C99,1,2)),MONTH(DATE(M99,VALUE(MID(C99,3,2)),VALUE(MID(C99,1,2))))=VALUE(MID(C99,3,2))),DATE(M99,VALUE(MID(C99,3,2)),VALUE(MID(C99,1,2))),"")),"")</f>
        <v/>
      </c>
    </row>
    <row r="100">
      <c r="A100" s="2" t="n"/>
      <c r="B100" s="2" t="n"/>
      <c r="C100" s="3" t="n"/>
      <c r="D100" s="2" t="n"/>
      <c r="E100" s="4">
        <f>IF(A100="","",5)</f>
        <v/>
      </c>
      <c r="F100" s="2" t="n"/>
      <c r="G100" s="4" t="n"/>
      <c r="H100" s="2" t="n"/>
      <c r="I100" s="2" t="n"/>
      <c r="J100" s="2">
        <f>IF(C100="","",IF(LEN(C100)&lt;&gt;13,"Nema 13 cifara (ima "&amp;LEN(C100)&amp;")",IF(L100="","JMBG sadrži nešto što nije cifra",IF(N100="","Nepostojeći datum rođenja",IF(VALUE(MID(C100,13,1))&lt;&gt;L100,"Pogrešna kontrolna cifra - treba "&amp;L100,"✓ ispravan")))))</f>
        <v/>
      </c>
      <c r="K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L100">
        <f>IF(K100="","",IF(11-MOD(K100,11)&gt;9,0,11-MOD(K100,11)))</f>
        <v/>
      </c>
      <c r="M100">
        <f>IFERROR(IF(LEN(C100)&lt;&gt;13,"",IF(VALUE(MID(C100,5,3))&gt;=800,1000,2000)+VALUE(MID(C100,5,3))),"")</f>
        <v/>
      </c>
      <c r="N100">
        <f>IFERROR(IF(M100="","",IF(AND(DAY(DATE(M100,VALUE(MID(C100,3,2)),VALUE(MID(C100,1,2))))=VALUE(MID(C100,1,2)),MONTH(DATE(M100,VALUE(MID(C100,3,2)),VALUE(MID(C100,1,2))))=VALUE(MID(C100,3,2))),DATE(M100,VALUE(MID(C100,3,2)),VALUE(MID(C100,1,2))),"")),"")</f>
        <v/>
      </c>
    </row>
    <row r="101">
      <c r="A101" s="2" t="n"/>
      <c r="B101" s="2" t="n"/>
      <c r="C101" s="3" t="n"/>
      <c r="D101" s="2" t="n"/>
      <c r="E101" s="4">
        <f>IF(A101="","",5)</f>
        <v/>
      </c>
      <c r="F101" s="2" t="n"/>
      <c r="G101" s="4" t="n"/>
      <c r="H101" s="2" t="n"/>
      <c r="I101" s="2" t="n"/>
      <c r="J101" s="2">
        <f>IF(C101="","",IF(LEN(C101)&lt;&gt;13,"Nema 13 cifara (ima "&amp;LEN(C101)&amp;")",IF(L101="","JMBG sadrži nešto što nije cifra",IF(N101="","Nepostojeći datum rođenja",IF(VALUE(MID(C101,13,1))&lt;&gt;L101,"Pogrešna kontrolna cifra - treba "&amp;L101,"✓ ispravan")))))</f>
        <v/>
      </c>
      <c r="K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L101">
        <f>IF(K101="","",IF(11-MOD(K101,11)&gt;9,0,11-MOD(K101,11)))</f>
        <v/>
      </c>
      <c r="M101">
        <f>IFERROR(IF(LEN(C101)&lt;&gt;13,"",IF(VALUE(MID(C101,5,3))&gt;=800,1000,2000)+VALUE(MID(C101,5,3))),"")</f>
        <v/>
      </c>
      <c r="N101">
        <f>IFERROR(IF(M101="","",IF(AND(DAY(DATE(M101,VALUE(MID(C101,3,2)),VALUE(MID(C101,1,2))))=VALUE(MID(C101,1,2)),MONTH(DATE(M101,VALUE(MID(C101,3,2)),VALUE(MID(C101,1,2))))=VALUE(MID(C101,3,2))),DATE(M101,VALUE(MID(C101,3,2)),VALUE(MID(C101,1,2))),"")),"")</f>
        <v/>
      </c>
    </row>
    <row r="102">
      <c r="A102" s="2" t="n"/>
      <c r="B102" s="2" t="n"/>
      <c r="C102" s="3" t="n"/>
      <c r="D102" s="2" t="n"/>
      <c r="E102" s="4">
        <f>IF(A102="","",5)</f>
        <v/>
      </c>
      <c r="F102" s="2" t="n"/>
      <c r="G102" s="4" t="n"/>
      <c r="H102" s="2" t="n"/>
      <c r="I102" s="2" t="n"/>
      <c r="J102" s="2">
        <f>IF(C102="","",IF(LEN(C102)&lt;&gt;13,"Nema 13 cifara (ima "&amp;LEN(C102)&amp;")",IF(L102="","JMBG sadrži nešto što nije cifra",IF(N102="","Nepostojeći datum rođenja",IF(VALUE(MID(C102,13,1))&lt;&gt;L102,"Pogrešna kontrolna cifra - treba "&amp;L102,"✓ ispravan")))))</f>
        <v/>
      </c>
      <c r="K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L102">
        <f>IF(K102="","",IF(11-MOD(K102,11)&gt;9,0,11-MOD(K102,11)))</f>
        <v/>
      </c>
      <c r="M102">
        <f>IFERROR(IF(LEN(C102)&lt;&gt;13,"",IF(VALUE(MID(C102,5,3))&gt;=800,1000,2000)+VALUE(MID(C102,5,3))),"")</f>
        <v/>
      </c>
      <c r="N102">
        <f>IFERROR(IF(M102="","",IF(AND(DAY(DATE(M102,VALUE(MID(C102,3,2)),VALUE(MID(C102,1,2))))=VALUE(MID(C102,1,2)),MONTH(DATE(M102,VALUE(MID(C102,3,2)),VALUE(MID(C102,1,2))))=VALUE(MID(C102,3,2))),DATE(M102,VALUE(MID(C102,3,2)),VALUE(MID(C102,1,2))),"")),"")</f>
        <v/>
      </c>
    </row>
    <row r="103">
      <c r="A103" s="2" t="n"/>
      <c r="B103" s="2" t="n"/>
      <c r="C103" s="3" t="n"/>
      <c r="D103" s="2" t="n"/>
      <c r="E103" s="4">
        <f>IF(A103="","",5)</f>
        <v/>
      </c>
      <c r="F103" s="2" t="n"/>
      <c r="G103" s="4" t="n"/>
      <c r="H103" s="2" t="n"/>
      <c r="I103" s="2" t="n"/>
      <c r="J103" s="2">
        <f>IF(C103="","",IF(LEN(C103)&lt;&gt;13,"Nema 13 cifara (ima "&amp;LEN(C103)&amp;")",IF(L103="","JMBG sadrži nešto što nije cifra",IF(N103="","Nepostojeći datum rođenja",IF(VALUE(MID(C103,13,1))&lt;&gt;L103,"Pogrešna kontrolna cifra - treba "&amp;L103,"✓ ispravan")))))</f>
        <v/>
      </c>
      <c r="K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L103">
        <f>IF(K103="","",IF(11-MOD(K103,11)&gt;9,0,11-MOD(K103,11)))</f>
        <v/>
      </c>
      <c r="M103">
        <f>IFERROR(IF(LEN(C103)&lt;&gt;13,"",IF(VALUE(MID(C103,5,3))&gt;=800,1000,2000)+VALUE(MID(C103,5,3))),"")</f>
        <v/>
      </c>
      <c r="N103">
        <f>IFERROR(IF(M103="","",IF(AND(DAY(DATE(M103,VALUE(MID(C103,3,2)),VALUE(MID(C103,1,2))))=VALUE(MID(C103,1,2)),MONTH(DATE(M103,VALUE(MID(C103,3,2)),VALUE(MID(C103,1,2))))=VALUE(MID(C103,3,2))),DATE(M103,VALUE(MID(C103,3,2)),VALUE(MID(C103,1,2))),"")),"")</f>
        <v/>
      </c>
    </row>
    <row r="104">
      <c r="A104" s="2" t="n"/>
      <c r="B104" s="2" t="n"/>
      <c r="C104" s="3" t="n"/>
      <c r="D104" s="2" t="n"/>
      <c r="E104" s="4">
        <f>IF(A104="","",5)</f>
        <v/>
      </c>
      <c r="F104" s="2" t="n"/>
      <c r="G104" s="4" t="n"/>
      <c r="H104" s="2" t="n"/>
      <c r="I104" s="2" t="n"/>
      <c r="J104" s="2">
        <f>IF(C104="","",IF(LEN(C104)&lt;&gt;13,"Nema 13 cifara (ima "&amp;LEN(C104)&amp;")",IF(L104="","JMBG sadrži nešto što nije cifra",IF(N104="","Nepostojeći datum rođenja",IF(VALUE(MID(C104,13,1))&lt;&gt;L104,"Pogrešna kontrolna cifra - treba "&amp;L104,"✓ ispravan")))))</f>
        <v/>
      </c>
      <c r="K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L104">
        <f>IF(K104="","",IF(11-MOD(K104,11)&gt;9,0,11-MOD(K104,11)))</f>
        <v/>
      </c>
      <c r="M104">
        <f>IFERROR(IF(LEN(C104)&lt;&gt;13,"",IF(VALUE(MID(C104,5,3))&gt;=800,1000,2000)+VALUE(MID(C104,5,3))),"")</f>
        <v/>
      </c>
      <c r="N104">
        <f>IFERROR(IF(M104="","",IF(AND(DAY(DATE(M104,VALUE(MID(C104,3,2)),VALUE(MID(C104,1,2))))=VALUE(MID(C104,1,2)),MONTH(DATE(M104,VALUE(MID(C104,3,2)),VALUE(MID(C104,1,2))))=VALUE(MID(C104,3,2))),DATE(M104,VALUE(MID(C104,3,2)),VALUE(MID(C104,1,2))),"")),"")</f>
        <v/>
      </c>
    </row>
    <row r="105">
      <c r="A105" s="2" t="n"/>
      <c r="B105" s="2" t="n"/>
      <c r="C105" s="3" t="n"/>
      <c r="D105" s="2" t="n"/>
      <c r="E105" s="4">
        <f>IF(A105="","",5)</f>
        <v/>
      </c>
      <c r="F105" s="2" t="n"/>
      <c r="G105" s="4" t="n"/>
      <c r="H105" s="2" t="n"/>
      <c r="I105" s="2" t="n"/>
      <c r="J105" s="2">
        <f>IF(C105="","",IF(LEN(C105)&lt;&gt;13,"Nema 13 cifara (ima "&amp;LEN(C105)&amp;")",IF(L105="","JMBG sadrži nešto što nije cifra",IF(N105="","Nepostojeći datum rođenja",IF(VALUE(MID(C105,13,1))&lt;&gt;L105,"Pogrešna kontrolna cifra - treba "&amp;L105,"✓ ispravan")))))</f>
        <v/>
      </c>
      <c r="K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L105">
        <f>IF(K105="","",IF(11-MOD(K105,11)&gt;9,0,11-MOD(K105,11)))</f>
        <v/>
      </c>
      <c r="M105">
        <f>IFERROR(IF(LEN(C105)&lt;&gt;13,"",IF(VALUE(MID(C105,5,3))&gt;=800,1000,2000)+VALUE(MID(C105,5,3))),"")</f>
        <v/>
      </c>
      <c r="N105">
        <f>IFERROR(IF(M105="","",IF(AND(DAY(DATE(M105,VALUE(MID(C105,3,2)),VALUE(MID(C105,1,2))))=VALUE(MID(C105,1,2)),MONTH(DATE(M105,VALUE(MID(C105,3,2)),VALUE(MID(C105,1,2))))=VALUE(MID(C105,3,2))),DATE(M105,VALUE(MID(C105,3,2)),VALUE(MID(C105,1,2))),"")),"")</f>
        <v/>
      </c>
    </row>
    <row r="106">
      <c r="A106" s="2" t="n"/>
      <c r="B106" s="2" t="n"/>
      <c r="C106" s="3" t="n"/>
      <c r="D106" s="2" t="n"/>
      <c r="E106" s="4">
        <f>IF(A106="","",5)</f>
        <v/>
      </c>
      <c r="F106" s="2" t="n"/>
      <c r="G106" s="4" t="n"/>
      <c r="H106" s="2" t="n"/>
      <c r="I106" s="2" t="n"/>
      <c r="J106" s="2">
        <f>IF(C106="","",IF(LEN(C106)&lt;&gt;13,"Nema 13 cifara (ima "&amp;LEN(C106)&amp;")",IF(L106="","JMBG sadrži nešto što nije cifra",IF(N106="","Nepostojeći datum rođenja",IF(VALUE(MID(C106,13,1))&lt;&gt;L106,"Pogrešna kontrolna cifra - treba "&amp;L106,"✓ ispravan")))))</f>
        <v/>
      </c>
      <c r="K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L106">
        <f>IF(K106="","",IF(11-MOD(K106,11)&gt;9,0,11-MOD(K106,11)))</f>
        <v/>
      </c>
      <c r="M106">
        <f>IFERROR(IF(LEN(C106)&lt;&gt;13,"",IF(VALUE(MID(C106,5,3))&gt;=800,1000,2000)+VALUE(MID(C106,5,3))),"")</f>
        <v/>
      </c>
      <c r="N106">
        <f>IFERROR(IF(M106="","",IF(AND(DAY(DATE(M106,VALUE(MID(C106,3,2)),VALUE(MID(C106,1,2))))=VALUE(MID(C106,1,2)),MONTH(DATE(M106,VALUE(MID(C106,3,2)),VALUE(MID(C106,1,2))))=VALUE(MID(C106,3,2))),DATE(M106,VALUE(MID(C106,3,2)),VALUE(MID(C106,1,2))),"")),"")</f>
        <v/>
      </c>
    </row>
    <row r="107">
      <c r="A107" s="2" t="n"/>
      <c r="B107" s="2" t="n"/>
      <c r="C107" s="3" t="n"/>
      <c r="D107" s="2" t="n"/>
      <c r="E107" s="4">
        <f>IF(A107="","",5)</f>
        <v/>
      </c>
      <c r="F107" s="2" t="n"/>
      <c r="G107" s="4" t="n"/>
      <c r="H107" s="2" t="n"/>
      <c r="I107" s="2" t="n"/>
      <c r="J107" s="2">
        <f>IF(C107="","",IF(LEN(C107)&lt;&gt;13,"Nema 13 cifara (ima "&amp;LEN(C107)&amp;")",IF(L107="","JMBG sadrži nešto što nije cifra",IF(N107="","Nepostojeći datum rođenja",IF(VALUE(MID(C107,13,1))&lt;&gt;L107,"Pogrešna kontrolna cifra - treba "&amp;L107,"✓ ispravan")))))</f>
        <v/>
      </c>
      <c r="K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L107">
        <f>IF(K107="","",IF(11-MOD(K107,11)&gt;9,0,11-MOD(K107,11)))</f>
        <v/>
      </c>
      <c r="M107">
        <f>IFERROR(IF(LEN(C107)&lt;&gt;13,"",IF(VALUE(MID(C107,5,3))&gt;=800,1000,2000)+VALUE(MID(C107,5,3))),"")</f>
        <v/>
      </c>
      <c r="N107">
        <f>IFERROR(IF(M107="","",IF(AND(DAY(DATE(M107,VALUE(MID(C107,3,2)),VALUE(MID(C107,1,2))))=VALUE(MID(C107,1,2)),MONTH(DATE(M107,VALUE(MID(C107,3,2)),VALUE(MID(C107,1,2))))=VALUE(MID(C107,3,2))),DATE(M107,VALUE(MID(C107,3,2)),VALUE(MID(C107,1,2))),"")),"")</f>
        <v/>
      </c>
    </row>
    <row r="108">
      <c r="A108" s="2" t="n"/>
      <c r="B108" s="2" t="n"/>
      <c r="C108" s="3" t="n"/>
      <c r="D108" s="2" t="n"/>
      <c r="E108" s="4">
        <f>IF(A108="","",5)</f>
        <v/>
      </c>
      <c r="F108" s="2" t="n"/>
      <c r="G108" s="4" t="n"/>
      <c r="H108" s="2" t="n"/>
      <c r="I108" s="2" t="n"/>
      <c r="J108" s="2">
        <f>IF(C108="","",IF(LEN(C108)&lt;&gt;13,"Nema 13 cifara (ima "&amp;LEN(C108)&amp;")",IF(L108="","JMBG sadrži nešto što nije cifra",IF(N108="","Nepostojeći datum rođenja",IF(VALUE(MID(C108,13,1))&lt;&gt;L108,"Pogrešna kontrolna cifra - treba "&amp;L108,"✓ ispravan")))))</f>
        <v/>
      </c>
      <c r="K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L108">
        <f>IF(K108="","",IF(11-MOD(K108,11)&gt;9,0,11-MOD(K108,11)))</f>
        <v/>
      </c>
      <c r="M108">
        <f>IFERROR(IF(LEN(C108)&lt;&gt;13,"",IF(VALUE(MID(C108,5,3))&gt;=800,1000,2000)+VALUE(MID(C108,5,3))),"")</f>
        <v/>
      </c>
      <c r="N108">
        <f>IFERROR(IF(M108="","",IF(AND(DAY(DATE(M108,VALUE(MID(C108,3,2)),VALUE(MID(C108,1,2))))=VALUE(MID(C108,1,2)),MONTH(DATE(M108,VALUE(MID(C108,3,2)),VALUE(MID(C108,1,2))))=VALUE(MID(C108,3,2))),DATE(M108,VALUE(MID(C108,3,2)),VALUE(MID(C108,1,2))),"")),"")</f>
        <v/>
      </c>
    </row>
    <row r="109">
      <c r="A109" s="2" t="n"/>
      <c r="B109" s="2" t="n"/>
      <c r="C109" s="3" t="n"/>
      <c r="D109" s="2" t="n"/>
      <c r="E109" s="4">
        <f>IF(A109="","",5)</f>
        <v/>
      </c>
      <c r="F109" s="2" t="n"/>
      <c r="G109" s="4" t="n"/>
      <c r="H109" s="2" t="n"/>
      <c r="I109" s="2" t="n"/>
      <c r="J109" s="2">
        <f>IF(C109="","",IF(LEN(C109)&lt;&gt;13,"Nema 13 cifara (ima "&amp;LEN(C109)&amp;")",IF(L109="","JMBG sadrži nešto što nije cifra",IF(N109="","Nepostojeći datum rođenja",IF(VALUE(MID(C109,13,1))&lt;&gt;L109,"Pogrešna kontrolna cifra - treba "&amp;L109,"✓ ispravan")))))</f>
        <v/>
      </c>
      <c r="K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L109">
        <f>IF(K109="","",IF(11-MOD(K109,11)&gt;9,0,11-MOD(K109,11)))</f>
        <v/>
      </c>
      <c r="M109">
        <f>IFERROR(IF(LEN(C109)&lt;&gt;13,"",IF(VALUE(MID(C109,5,3))&gt;=800,1000,2000)+VALUE(MID(C109,5,3))),"")</f>
        <v/>
      </c>
      <c r="N109">
        <f>IFERROR(IF(M109="","",IF(AND(DAY(DATE(M109,VALUE(MID(C109,3,2)),VALUE(MID(C109,1,2))))=VALUE(MID(C109,1,2)),MONTH(DATE(M109,VALUE(MID(C109,3,2)),VALUE(MID(C109,1,2))))=VALUE(MID(C109,3,2))),DATE(M109,VALUE(MID(C109,3,2)),VALUE(MID(C109,1,2))),"")),"")</f>
        <v/>
      </c>
    </row>
    <row r="110">
      <c r="A110" s="2" t="n"/>
      <c r="B110" s="2" t="n"/>
      <c r="C110" s="3" t="n"/>
      <c r="D110" s="2" t="n"/>
      <c r="E110" s="4">
        <f>IF(A110="","",5)</f>
        <v/>
      </c>
      <c r="F110" s="2" t="n"/>
      <c r="G110" s="4" t="n"/>
      <c r="H110" s="2" t="n"/>
      <c r="I110" s="2" t="n"/>
      <c r="J110" s="2">
        <f>IF(C110="","",IF(LEN(C110)&lt;&gt;13,"Nema 13 cifara (ima "&amp;LEN(C110)&amp;")",IF(L110="","JMBG sadrži nešto što nije cifra",IF(N110="","Nepostojeći datum rođenja",IF(VALUE(MID(C110,13,1))&lt;&gt;L110,"Pogrešna kontrolna cifra - treba "&amp;L110,"✓ ispravan")))))</f>
        <v/>
      </c>
      <c r="K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L110">
        <f>IF(K110="","",IF(11-MOD(K110,11)&gt;9,0,11-MOD(K110,11)))</f>
        <v/>
      </c>
      <c r="M110">
        <f>IFERROR(IF(LEN(C110)&lt;&gt;13,"",IF(VALUE(MID(C110,5,3))&gt;=800,1000,2000)+VALUE(MID(C110,5,3))),"")</f>
        <v/>
      </c>
      <c r="N110">
        <f>IFERROR(IF(M110="","",IF(AND(DAY(DATE(M110,VALUE(MID(C110,3,2)),VALUE(MID(C110,1,2))))=VALUE(MID(C110,1,2)),MONTH(DATE(M110,VALUE(MID(C110,3,2)),VALUE(MID(C110,1,2))))=VALUE(MID(C110,3,2))),DATE(M110,VALUE(MID(C110,3,2)),VALUE(MID(C110,1,2))),"")),"")</f>
        <v/>
      </c>
    </row>
    <row r="111">
      <c r="A111" s="2" t="n"/>
      <c r="B111" s="2" t="n"/>
      <c r="C111" s="3" t="n"/>
      <c r="D111" s="2" t="n"/>
      <c r="E111" s="4">
        <f>IF(A111="","",5)</f>
        <v/>
      </c>
      <c r="F111" s="2" t="n"/>
      <c r="G111" s="4" t="n"/>
      <c r="H111" s="2" t="n"/>
      <c r="I111" s="2" t="n"/>
      <c r="J111" s="2">
        <f>IF(C111="","",IF(LEN(C111)&lt;&gt;13,"Nema 13 cifara (ima "&amp;LEN(C111)&amp;")",IF(L111="","JMBG sadrži nešto što nije cifra",IF(N111="","Nepostojeći datum rođenja",IF(VALUE(MID(C111,13,1))&lt;&gt;L111,"Pogrešna kontrolna cifra - treba "&amp;L111,"✓ ispravan")))))</f>
        <v/>
      </c>
      <c r="K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L111">
        <f>IF(K111="","",IF(11-MOD(K111,11)&gt;9,0,11-MOD(K111,11)))</f>
        <v/>
      </c>
      <c r="M111">
        <f>IFERROR(IF(LEN(C111)&lt;&gt;13,"",IF(VALUE(MID(C111,5,3))&gt;=800,1000,2000)+VALUE(MID(C111,5,3))),"")</f>
        <v/>
      </c>
      <c r="N111">
        <f>IFERROR(IF(M111="","",IF(AND(DAY(DATE(M111,VALUE(MID(C111,3,2)),VALUE(MID(C111,1,2))))=VALUE(MID(C111,1,2)),MONTH(DATE(M111,VALUE(MID(C111,3,2)),VALUE(MID(C111,1,2))))=VALUE(MID(C111,3,2))),DATE(M111,VALUE(MID(C111,3,2)),VALUE(MID(C111,1,2))),"")),"")</f>
        <v/>
      </c>
    </row>
    <row r="112">
      <c r="A112" s="2" t="n"/>
      <c r="B112" s="2" t="n"/>
      <c r="C112" s="3" t="n"/>
      <c r="D112" s="2" t="n"/>
      <c r="E112" s="4">
        <f>IF(A112="","",5)</f>
        <v/>
      </c>
      <c r="F112" s="2" t="n"/>
      <c r="G112" s="4" t="n"/>
      <c r="H112" s="2" t="n"/>
      <c r="I112" s="2" t="n"/>
      <c r="J112" s="2">
        <f>IF(C112="","",IF(LEN(C112)&lt;&gt;13,"Nema 13 cifara (ima "&amp;LEN(C112)&amp;")",IF(L112="","JMBG sadrži nešto što nije cifra",IF(N112="","Nepostojeći datum rođenja",IF(VALUE(MID(C112,13,1))&lt;&gt;L112,"Pogrešna kontrolna cifra - treba "&amp;L112,"✓ ispravan")))))</f>
        <v/>
      </c>
      <c r="K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L112">
        <f>IF(K112="","",IF(11-MOD(K112,11)&gt;9,0,11-MOD(K112,11)))</f>
        <v/>
      </c>
      <c r="M112">
        <f>IFERROR(IF(LEN(C112)&lt;&gt;13,"",IF(VALUE(MID(C112,5,3))&gt;=800,1000,2000)+VALUE(MID(C112,5,3))),"")</f>
        <v/>
      </c>
      <c r="N112">
        <f>IFERROR(IF(M112="","",IF(AND(DAY(DATE(M112,VALUE(MID(C112,3,2)),VALUE(MID(C112,1,2))))=VALUE(MID(C112,1,2)),MONTH(DATE(M112,VALUE(MID(C112,3,2)),VALUE(MID(C112,1,2))))=VALUE(MID(C112,3,2))),DATE(M112,VALUE(MID(C112,3,2)),VALUE(MID(C112,1,2))),"")),"")</f>
        <v/>
      </c>
    </row>
    <row r="113">
      <c r="A113" s="2" t="n"/>
      <c r="B113" s="2" t="n"/>
      <c r="C113" s="3" t="n"/>
      <c r="D113" s="2" t="n"/>
      <c r="E113" s="4">
        <f>IF(A113="","",5)</f>
        <v/>
      </c>
      <c r="F113" s="2" t="n"/>
      <c r="G113" s="4" t="n"/>
      <c r="H113" s="2" t="n"/>
      <c r="I113" s="2" t="n"/>
      <c r="J113" s="2">
        <f>IF(C113="","",IF(LEN(C113)&lt;&gt;13,"Nema 13 cifara (ima "&amp;LEN(C113)&amp;")",IF(L113="","JMBG sadrži nešto što nije cifra",IF(N113="","Nepostojeći datum rođenja",IF(VALUE(MID(C113,13,1))&lt;&gt;L113,"Pogrešna kontrolna cifra - treba "&amp;L113,"✓ ispravan")))))</f>
        <v/>
      </c>
      <c r="K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L113">
        <f>IF(K113="","",IF(11-MOD(K113,11)&gt;9,0,11-MOD(K113,11)))</f>
        <v/>
      </c>
      <c r="M113">
        <f>IFERROR(IF(LEN(C113)&lt;&gt;13,"",IF(VALUE(MID(C113,5,3))&gt;=800,1000,2000)+VALUE(MID(C113,5,3))),"")</f>
        <v/>
      </c>
      <c r="N113">
        <f>IFERROR(IF(M113="","",IF(AND(DAY(DATE(M113,VALUE(MID(C113,3,2)),VALUE(MID(C113,1,2))))=VALUE(MID(C113,1,2)),MONTH(DATE(M113,VALUE(MID(C113,3,2)),VALUE(MID(C113,1,2))))=VALUE(MID(C113,3,2))),DATE(M113,VALUE(MID(C113,3,2)),VALUE(MID(C113,1,2))),"")),"")</f>
        <v/>
      </c>
    </row>
    <row r="114">
      <c r="A114" s="2" t="n"/>
      <c r="B114" s="2" t="n"/>
      <c r="C114" s="3" t="n"/>
      <c r="D114" s="2" t="n"/>
      <c r="E114" s="4">
        <f>IF(A114="","",5)</f>
        <v/>
      </c>
      <c r="F114" s="2" t="n"/>
      <c r="G114" s="4" t="n"/>
      <c r="H114" s="2" t="n"/>
      <c r="I114" s="2" t="n"/>
      <c r="J114" s="2">
        <f>IF(C114="","",IF(LEN(C114)&lt;&gt;13,"Nema 13 cifara (ima "&amp;LEN(C114)&amp;")",IF(L114="","JMBG sadrži nešto što nije cifra",IF(N114="","Nepostojeći datum rođenja",IF(VALUE(MID(C114,13,1))&lt;&gt;L114,"Pogrešna kontrolna cifra - treba "&amp;L114,"✓ ispravan")))))</f>
        <v/>
      </c>
      <c r="K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L114">
        <f>IF(K114="","",IF(11-MOD(K114,11)&gt;9,0,11-MOD(K114,11)))</f>
        <v/>
      </c>
      <c r="M114">
        <f>IFERROR(IF(LEN(C114)&lt;&gt;13,"",IF(VALUE(MID(C114,5,3))&gt;=800,1000,2000)+VALUE(MID(C114,5,3))),"")</f>
        <v/>
      </c>
      <c r="N114">
        <f>IFERROR(IF(M114="","",IF(AND(DAY(DATE(M114,VALUE(MID(C114,3,2)),VALUE(MID(C114,1,2))))=VALUE(MID(C114,1,2)),MONTH(DATE(M114,VALUE(MID(C114,3,2)),VALUE(MID(C114,1,2))))=VALUE(MID(C114,3,2))),DATE(M114,VALUE(MID(C114,3,2)),VALUE(MID(C114,1,2))),"")),"")</f>
        <v/>
      </c>
    </row>
    <row r="115">
      <c r="A115" s="2" t="n"/>
      <c r="B115" s="2" t="n"/>
      <c r="C115" s="3" t="n"/>
      <c r="D115" s="2" t="n"/>
      <c r="E115" s="4">
        <f>IF(A115="","",5)</f>
        <v/>
      </c>
      <c r="F115" s="2" t="n"/>
      <c r="G115" s="4" t="n"/>
      <c r="H115" s="2" t="n"/>
      <c r="I115" s="2" t="n"/>
      <c r="J115" s="2">
        <f>IF(C115="","",IF(LEN(C115)&lt;&gt;13,"Nema 13 cifara (ima "&amp;LEN(C115)&amp;")",IF(L115="","JMBG sadrži nešto što nije cifra",IF(N115="","Nepostojeći datum rođenja",IF(VALUE(MID(C115,13,1))&lt;&gt;L115,"Pogrešna kontrolna cifra - treba "&amp;L115,"✓ ispravan")))))</f>
        <v/>
      </c>
      <c r="K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L115">
        <f>IF(K115="","",IF(11-MOD(K115,11)&gt;9,0,11-MOD(K115,11)))</f>
        <v/>
      </c>
      <c r="M115">
        <f>IFERROR(IF(LEN(C115)&lt;&gt;13,"",IF(VALUE(MID(C115,5,3))&gt;=800,1000,2000)+VALUE(MID(C115,5,3))),"")</f>
        <v/>
      </c>
      <c r="N115">
        <f>IFERROR(IF(M115="","",IF(AND(DAY(DATE(M115,VALUE(MID(C115,3,2)),VALUE(MID(C115,1,2))))=VALUE(MID(C115,1,2)),MONTH(DATE(M115,VALUE(MID(C115,3,2)),VALUE(MID(C115,1,2))))=VALUE(MID(C115,3,2))),DATE(M115,VALUE(MID(C115,3,2)),VALUE(MID(C115,1,2))),"")),"")</f>
        <v/>
      </c>
    </row>
    <row r="116">
      <c r="A116" s="2" t="n"/>
      <c r="B116" s="2" t="n"/>
      <c r="C116" s="3" t="n"/>
      <c r="D116" s="2" t="n"/>
      <c r="E116" s="4">
        <f>IF(A116="","",5)</f>
        <v/>
      </c>
      <c r="F116" s="2" t="n"/>
      <c r="G116" s="4" t="n"/>
      <c r="H116" s="2" t="n"/>
      <c r="I116" s="2" t="n"/>
      <c r="J116" s="2">
        <f>IF(C116="","",IF(LEN(C116)&lt;&gt;13,"Nema 13 cifara (ima "&amp;LEN(C116)&amp;")",IF(L116="","JMBG sadrži nešto što nije cifra",IF(N116="","Nepostojeći datum rođenja",IF(VALUE(MID(C116,13,1))&lt;&gt;L116,"Pogrešna kontrolna cifra - treba "&amp;L116,"✓ ispravan")))))</f>
        <v/>
      </c>
      <c r="K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L116">
        <f>IF(K116="","",IF(11-MOD(K116,11)&gt;9,0,11-MOD(K116,11)))</f>
        <v/>
      </c>
      <c r="M116">
        <f>IFERROR(IF(LEN(C116)&lt;&gt;13,"",IF(VALUE(MID(C116,5,3))&gt;=800,1000,2000)+VALUE(MID(C116,5,3))),"")</f>
        <v/>
      </c>
      <c r="N116">
        <f>IFERROR(IF(M116="","",IF(AND(DAY(DATE(M116,VALUE(MID(C116,3,2)),VALUE(MID(C116,1,2))))=VALUE(MID(C116,1,2)),MONTH(DATE(M116,VALUE(MID(C116,3,2)),VALUE(MID(C116,1,2))))=VALUE(MID(C116,3,2))),DATE(M116,VALUE(MID(C116,3,2)),VALUE(MID(C116,1,2))),"")),"")</f>
        <v/>
      </c>
    </row>
    <row r="117">
      <c r="A117" s="2" t="n"/>
      <c r="B117" s="2" t="n"/>
      <c r="C117" s="3" t="n"/>
      <c r="D117" s="2" t="n"/>
      <c r="E117" s="4">
        <f>IF(A117="","",5)</f>
        <v/>
      </c>
      <c r="F117" s="2" t="n"/>
      <c r="G117" s="4" t="n"/>
      <c r="H117" s="2" t="n"/>
      <c r="I117" s="2" t="n"/>
      <c r="J117" s="2">
        <f>IF(C117="","",IF(LEN(C117)&lt;&gt;13,"Nema 13 cifara (ima "&amp;LEN(C117)&amp;")",IF(L117="","JMBG sadrži nešto što nije cifra",IF(N117="","Nepostojeći datum rođenja",IF(VALUE(MID(C117,13,1))&lt;&gt;L117,"Pogrešna kontrolna cifra - treba "&amp;L117,"✓ ispravan")))))</f>
        <v/>
      </c>
      <c r="K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L117">
        <f>IF(K117="","",IF(11-MOD(K117,11)&gt;9,0,11-MOD(K117,11)))</f>
        <v/>
      </c>
      <c r="M117">
        <f>IFERROR(IF(LEN(C117)&lt;&gt;13,"",IF(VALUE(MID(C117,5,3))&gt;=800,1000,2000)+VALUE(MID(C117,5,3))),"")</f>
        <v/>
      </c>
      <c r="N117">
        <f>IFERROR(IF(M117="","",IF(AND(DAY(DATE(M117,VALUE(MID(C117,3,2)),VALUE(MID(C117,1,2))))=VALUE(MID(C117,1,2)),MONTH(DATE(M117,VALUE(MID(C117,3,2)),VALUE(MID(C117,1,2))))=VALUE(MID(C117,3,2))),DATE(M117,VALUE(MID(C117,3,2)),VALUE(MID(C117,1,2))),"")),"")</f>
        <v/>
      </c>
    </row>
    <row r="118">
      <c r="A118" s="2" t="n"/>
      <c r="B118" s="2" t="n"/>
      <c r="C118" s="3" t="n"/>
      <c r="D118" s="2" t="n"/>
      <c r="E118" s="4">
        <f>IF(A118="","",5)</f>
        <v/>
      </c>
      <c r="F118" s="2" t="n"/>
      <c r="G118" s="4" t="n"/>
      <c r="H118" s="2" t="n"/>
      <c r="I118" s="2" t="n"/>
      <c r="J118" s="2">
        <f>IF(C118="","",IF(LEN(C118)&lt;&gt;13,"Nema 13 cifara (ima "&amp;LEN(C118)&amp;")",IF(L118="","JMBG sadrži nešto što nije cifra",IF(N118="","Nepostojeći datum rođenja",IF(VALUE(MID(C118,13,1))&lt;&gt;L118,"Pogrešna kontrolna cifra - treba "&amp;L118,"✓ ispravan")))))</f>
        <v/>
      </c>
      <c r="K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L118">
        <f>IF(K118="","",IF(11-MOD(K118,11)&gt;9,0,11-MOD(K118,11)))</f>
        <v/>
      </c>
      <c r="M118">
        <f>IFERROR(IF(LEN(C118)&lt;&gt;13,"",IF(VALUE(MID(C118,5,3))&gt;=800,1000,2000)+VALUE(MID(C118,5,3))),"")</f>
        <v/>
      </c>
      <c r="N118">
        <f>IFERROR(IF(M118="","",IF(AND(DAY(DATE(M118,VALUE(MID(C118,3,2)),VALUE(MID(C118,1,2))))=VALUE(MID(C118,1,2)),MONTH(DATE(M118,VALUE(MID(C118,3,2)),VALUE(MID(C118,1,2))))=VALUE(MID(C118,3,2))),DATE(M118,VALUE(MID(C118,3,2)),VALUE(MID(C118,1,2))),"")),"")</f>
        <v/>
      </c>
    </row>
    <row r="119">
      <c r="A119" s="2" t="n"/>
      <c r="B119" s="2" t="n"/>
      <c r="C119" s="3" t="n"/>
      <c r="D119" s="2" t="n"/>
      <c r="E119" s="4">
        <f>IF(A119="","",5)</f>
        <v/>
      </c>
      <c r="F119" s="2" t="n"/>
      <c r="G119" s="4" t="n"/>
      <c r="H119" s="2" t="n"/>
      <c r="I119" s="2" t="n"/>
      <c r="J119" s="2">
        <f>IF(C119="","",IF(LEN(C119)&lt;&gt;13,"Nema 13 cifara (ima "&amp;LEN(C119)&amp;")",IF(L119="","JMBG sadrži nešto što nije cifra",IF(N119="","Nepostojeći datum rođenja",IF(VALUE(MID(C119,13,1))&lt;&gt;L119,"Pogrešna kontrolna cifra - treba "&amp;L119,"✓ ispravan")))))</f>
        <v/>
      </c>
      <c r="K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L119">
        <f>IF(K119="","",IF(11-MOD(K119,11)&gt;9,0,11-MOD(K119,11)))</f>
        <v/>
      </c>
      <c r="M119">
        <f>IFERROR(IF(LEN(C119)&lt;&gt;13,"",IF(VALUE(MID(C119,5,3))&gt;=800,1000,2000)+VALUE(MID(C119,5,3))),"")</f>
        <v/>
      </c>
      <c r="N119">
        <f>IFERROR(IF(M119="","",IF(AND(DAY(DATE(M119,VALUE(MID(C119,3,2)),VALUE(MID(C119,1,2))))=VALUE(MID(C119,1,2)),MONTH(DATE(M119,VALUE(MID(C119,3,2)),VALUE(MID(C119,1,2))))=VALUE(MID(C119,3,2))),DATE(M119,VALUE(MID(C119,3,2)),VALUE(MID(C119,1,2))),"")),"")</f>
        <v/>
      </c>
    </row>
    <row r="120">
      <c r="A120" s="2" t="n"/>
      <c r="B120" s="2" t="n"/>
      <c r="C120" s="3" t="n"/>
      <c r="D120" s="2" t="n"/>
      <c r="E120" s="4">
        <f>IF(A120="","",5)</f>
        <v/>
      </c>
      <c r="F120" s="2" t="n"/>
      <c r="G120" s="4" t="n"/>
      <c r="H120" s="2" t="n"/>
      <c r="I120" s="2" t="n"/>
      <c r="J120" s="2">
        <f>IF(C120="","",IF(LEN(C120)&lt;&gt;13,"Nema 13 cifara (ima "&amp;LEN(C120)&amp;")",IF(L120="","JMBG sadrži nešto što nije cifra",IF(N120="","Nepostojeći datum rođenja",IF(VALUE(MID(C120,13,1))&lt;&gt;L120,"Pogrešna kontrolna cifra - treba "&amp;L120,"✓ ispravan")))))</f>
        <v/>
      </c>
      <c r="K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L120">
        <f>IF(K120="","",IF(11-MOD(K120,11)&gt;9,0,11-MOD(K120,11)))</f>
        <v/>
      </c>
      <c r="M120">
        <f>IFERROR(IF(LEN(C120)&lt;&gt;13,"",IF(VALUE(MID(C120,5,3))&gt;=800,1000,2000)+VALUE(MID(C120,5,3))),"")</f>
        <v/>
      </c>
      <c r="N120">
        <f>IFERROR(IF(M120="","",IF(AND(DAY(DATE(M120,VALUE(MID(C120,3,2)),VALUE(MID(C120,1,2))))=VALUE(MID(C120,1,2)),MONTH(DATE(M120,VALUE(MID(C120,3,2)),VALUE(MID(C120,1,2))))=VALUE(MID(C120,3,2))),DATE(M120,VALUE(MID(C120,3,2)),VALUE(MID(C120,1,2))),"")),"")</f>
        <v/>
      </c>
    </row>
    <row r="121">
      <c r="A121" s="2" t="n"/>
      <c r="B121" s="2" t="n"/>
      <c r="C121" s="3" t="n"/>
      <c r="D121" s="2" t="n"/>
      <c r="E121" s="4">
        <f>IF(A121="","",5)</f>
        <v/>
      </c>
      <c r="F121" s="2" t="n"/>
      <c r="G121" s="4" t="n"/>
      <c r="H121" s="2" t="n"/>
      <c r="I121" s="2" t="n"/>
      <c r="J121" s="2">
        <f>IF(C121="","",IF(LEN(C121)&lt;&gt;13,"Nema 13 cifara (ima "&amp;LEN(C121)&amp;")",IF(L121="","JMBG sadrži nešto što nije cifra",IF(N121="","Nepostojeći datum rođenja",IF(VALUE(MID(C121,13,1))&lt;&gt;L121,"Pogrešna kontrolna cifra - treba "&amp;L121,"✓ ispravan")))))</f>
        <v/>
      </c>
      <c r="K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L121">
        <f>IF(K121="","",IF(11-MOD(K121,11)&gt;9,0,11-MOD(K121,11)))</f>
        <v/>
      </c>
      <c r="M121">
        <f>IFERROR(IF(LEN(C121)&lt;&gt;13,"",IF(VALUE(MID(C121,5,3))&gt;=800,1000,2000)+VALUE(MID(C121,5,3))),"")</f>
        <v/>
      </c>
      <c r="N121">
        <f>IFERROR(IF(M121="","",IF(AND(DAY(DATE(M121,VALUE(MID(C121,3,2)),VALUE(MID(C121,1,2))))=VALUE(MID(C121,1,2)),MONTH(DATE(M121,VALUE(MID(C121,3,2)),VALUE(MID(C121,1,2))))=VALUE(MID(C121,3,2))),DATE(M121,VALUE(MID(C121,3,2)),VALUE(MID(C121,1,2))),"")),"")</f>
        <v/>
      </c>
    </row>
    <row r="122">
      <c r="A122" s="2" t="n"/>
      <c r="B122" s="2" t="n"/>
      <c r="C122" s="3" t="n"/>
      <c r="D122" s="2" t="n"/>
      <c r="E122" s="4">
        <f>IF(A122="","",5)</f>
        <v/>
      </c>
      <c r="F122" s="2" t="n"/>
      <c r="G122" s="4" t="n"/>
      <c r="H122" s="2" t="n"/>
      <c r="I122" s="2" t="n"/>
      <c r="J122" s="2">
        <f>IF(C122="","",IF(LEN(C122)&lt;&gt;13,"Nema 13 cifara (ima "&amp;LEN(C122)&amp;")",IF(L122="","JMBG sadrži nešto što nije cifra",IF(N122="","Nepostojeći datum rođenja",IF(VALUE(MID(C122,13,1))&lt;&gt;L122,"Pogrešna kontrolna cifra - treba "&amp;L122,"✓ ispravan")))))</f>
        <v/>
      </c>
      <c r="K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L122">
        <f>IF(K122="","",IF(11-MOD(K122,11)&gt;9,0,11-MOD(K122,11)))</f>
        <v/>
      </c>
      <c r="M122">
        <f>IFERROR(IF(LEN(C122)&lt;&gt;13,"",IF(VALUE(MID(C122,5,3))&gt;=800,1000,2000)+VALUE(MID(C122,5,3))),"")</f>
        <v/>
      </c>
      <c r="N122">
        <f>IFERROR(IF(M122="","",IF(AND(DAY(DATE(M122,VALUE(MID(C122,3,2)),VALUE(MID(C122,1,2))))=VALUE(MID(C122,1,2)),MONTH(DATE(M122,VALUE(MID(C122,3,2)),VALUE(MID(C122,1,2))))=VALUE(MID(C122,3,2))),DATE(M122,VALUE(MID(C122,3,2)),VALUE(MID(C122,1,2))),"")),"")</f>
        <v/>
      </c>
    </row>
    <row r="123">
      <c r="A123" s="2" t="n"/>
      <c r="B123" s="2" t="n"/>
      <c r="C123" s="3" t="n"/>
      <c r="D123" s="2" t="n"/>
      <c r="E123" s="4">
        <f>IF(A123="","",5)</f>
        <v/>
      </c>
      <c r="F123" s="2" t="n"/>
      <c r="G123" s="4" t="n"/>
      <c r="H123" s="2" t="n"/>
      <c r="I123" s="2" t="n"/>
      <c r="J123" s="2">
        <f>IF(C123="","",IF(LEN(C123)&lt;&gt;13,"Nema 13 cifara (ima "&amp;LEN(C123)&amp;")",IF(L123="","JMBG sadrži nešto što nije cifra",IF(N123="","Nepostojeći datum rođenja",IF(VALUE(MID(C123,13,1))&lt;&gt;L123,"Pogrešna kontrolna cifra - treba "&amp;L123,"✓ ispravan")))))</f>
        <v/>
      </c>
      <c r="K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L123">
        <f>IF(K123="","",IF(11-MOD(K123,11)&gt;9,0,11-MOD(K123,11)))</f>
        <v/>
      </c>
      <c r="M123">
        <f>IFERROR(IF(LEN(C123)&lt;&gt;13,"",IF(VALUE(MID(C123,5,3))&gt;=800,1000,2000)+VALUE(MID(C123,5,3))),"")</f>
        <v/>
      </c>
      <c r="N123">
        <f>IFERROR(IF(M123="","",IF(AND(DAY(DATE(M123,VALUE(MID(C123,3,2)),VALUE(MID(C123,1,2))))=VALUE(MID(C123,1,2)),MONTH(DATE(M123,VALUE(MID(C123,3,2)),VALUE(MID(C123,1,2))))=VALUE(MID(C123,3,2))),DATE(M123,VALUE(MID(C123,3,2)),VALUE(MID(C123,1,2))),"")),"")</f>
        <v/>
      </c>
    </row>
    <row r="124">
      <c r="A124" s="2" t="n"/>
      <c r="B124" s="2" t="n"/>
      <c r="C124" s="3" t="n"/>
      <c r="D124" s="2" t="n"/>
      <c r="E124" s="4">
        <f>IF(A124="","",5)</f>
        <v/>
      </c>
      <c r="F124" s="2" t="n"/>
      <c r="G124" s="4" t="n"/>
      <c r="H124" s="2" t="n"/>
      <c r="I124" s="2" t="n"/>
      <c r="J124" s="2">
        <f>IF(C124="","",IF(LEN(C124)&lt;&gt;13,"Nema 13 cifara (ima "&amp;LEN(C124)&amp;")",IF(L124="","JMBG sadrži nešto što nije cifra",IF(N124="","Nepostojeći datum rođenja",IF(VALUE(MID(C124,13,1))&lt;&gt;L124,"Pogrešna kontrolna cifra - treba "&amp;L124,"✓ ispravan")))))</f>
        <v/>
      </c>
      <c r="K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L124">
        <f>IF(K124="","",IF(11-MOD(K124,11)&gt;9,0,11-MOD(K124,11)))</f>
        <v/>
      </c>
      <c r="M124">
        <f>IFERROR(IF(LEN(C124)&lt;&gt;13,"",IF(VALUE(MID(C124,5,3))&gt;=800,1000,2000)+VALUE(MID(C124,5,3))),"")</f>
        <v/>
      </c>
      <c r="N124">
        <f>IFERROR(IF(M124="","",IF(AND(DAY(DATE(M124,VALUE(MID(C124,3,2)),VALUE(MID(C124,1,2))))=VALUE(MID(C124,1,2)),MONTH(DATE(M124,VALUE(MID(C124,3,2)),VALUE(MID(C124,1,2))))=VALUE(MID(C124,3,2))),DATE(M124,VALUE(MID(C124,3,2)),VALUE(MID(C124,1,2))),"")),"")</f>
        <v/>
      </c>
    </row>
    <row r="125">
      <c r="A125" s="2" t="n"/>
      <c r="B125" s="2" t="n"/>
      <c r="C125" s="3" t="n"/>
      <c r="D125" s="2" t="n"/>
      <c r="E125" s="4">
        <f>IF(A125="","",5)</f>
        <v/>
      </c>
      <c r="F125" s="2" t="n"/>
      <c r="G125" s="4" t="n"/>
      <c r="H125" s="2" t="n"/>
      <c r="I125" s="2" t="n"/>
      <c r="J125" s="2">
        <f>IF(C125="","",IF(LEN(C125)&lt;&gt;13,"Nema 13 cifara (ima "&amp;LEN(C125)&amp;")",IF(L125="","JMBG sadrži nešto što nije cifra",IF(N125="","Nepostojeći datum rođenja",IF(VALUE(MID(C125,13,1))&lt;&gt;L125,"Pogrešna kontrolna cifra - treba "&amp;L125,"✓ ispravan")))))</f>
        <v/>
      </c>
      <c r="K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L125">
        <f>IF(K125="","",IF(11-MOD(K125,11)&gt;9,0,11-MOD(K125,11)))</f>
        <v/>
      </c>
      <c r="M125">
        <f>IFERROR(IF(LEN(C125)&lt;&gt;13,"",IF(VALUE(MID(C125,5,3))&gt;=800,1000,2000)+VALUE(MID(C125,5,3))),"")</f>
        <v/>
      </c>
      <c r="N125">
        <f>IFERROR(IF(M125="","",IF(AND(DAY(DATE(M125,VALUE(MID(C125,3,2)),VALUE(MID(C125,1,2))))=VALUE(MID(C125,1,2)),MONTH(DATE(M125,VALUE(MID(C125,3,2)),VALUE(MID(C125,1,2))))=VALUE(MID(C125,3,2))),DATE(M125,VALUE(MID(C125,3,2)),VALUE(MID(C125,1,2))),"")),"")</f>
        <v/>
      </c>
    </row>
    <row r="126">
      <c r="A126" s="2" t="n"/>
      <c r="B126" s="2" t="n"/>
      <c r="C126" s="3" t="n"/>
      <c r="D126" s="2" t="n"/>
      <c r="E126" s="4">
        <f>IF(A126="","",5)</f>
        <v/>
      </c>
      <c r="F126" s="2" t="n"/>
      <c r="G126" s="4" t="n"/>
      <c r="H126" s="2" t="n"/>
      <c r="I126" s="2" t="n"/>
      <c r="J126" s="2">
        <f>IF(C126="","",IF(LEN(C126)&lt;&gt;13,"Nema 13 cifara (ima "&amp;LEN(C126)&amp;")",IF(L126="","JMBG sadrži nešto što nije cifra",IF(N126="","Nepostojeći datum rođenja",IF(VALUE(MID(C126,13,1))&lt;&gt;L126,"Pogrešna kontrolna cifra - treba "&amp;L126,"✓ ispravan")))))</f>
        <v/>
      </c>
      <c r="K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L126">
        <f>IF(K126="","",IF(11-MOD(K126,11)&gt;9,0,11-MOD(K126,11)))</f>
        <v/>
      </c>
      <c r="M126">
        <f>IFERROR(IF(LEN(C126)&lt;&gt;13,"",IF(VALUE(MID(C126,5,3))&gt;=800,1000,2000)+VALUE(MID(C126,5,3))),"")</f>
        <v/>
      </c>
      <c r="N126">
        <f>IFERROR(IF(M126="","",IF(AND(DAY(DATE(M126,VALUE(MID(C126,3,2)),VALUE(MID(C126,1,2))))=VALUE(MID(C126,1,2)),MONTH(DATE(M126,VALUE(MID(C126,3,2)),VALUE(MID(C126,1,2))))=VALUE(MID(C126,3,2))),DATE(M126,VALUE(MID(C126,3,2)),VALUE(MID(C126,1,2))),"")),"")</f>
        <v/>
      </c>
    </row>
    <row r="127">
      <c r="A127" s="2" t="n"/>
      <c r="B127" s="2" t="n"/>
      <c r="C127" s="3" t="n"/>
      <c r="D127" s="2" t="n"/>
      <c r="E127" s="4">
        <f>IF(A127="","",5)</f>
        <v/>
      </c>
      <c r="F127" s="2" t="n"/>
      <c r="G127" s="4" t="n"/>
      <c r="H127" s="2" t="n"/>
      <c r="I127" s="2" t="n"/>
      <c r="J127" s="2">
        <f>IF(C127="","",IF(LEN(C127)&lt;&gt;13,"Nema 13 cifara (ima "&amp;LEN(C127)&amp;")",IF(L127="","JMBG sadrži nešto što nije cifra",IF(N127="","Nepostojeći datum rođenja",IF(VALUE(MID(C127,13,1))&lt;&gt;L127,"Pogrešna kontrolna cifra - treba "&amp;L127,"✓ ispravan")))))</f>
        <v/>
      </c>
      <c r="K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L127">
        <f>IF(K127="","",IF(11-MOD(K127,11)&gt;9,0,11-MOD(K127,11)))</f>
        <v/>
      </c>
      <c r="M127">
        <f>IFERROR(IF(LEN(C127)&lt;&gt;13,"",IF(VALUE(MID(C127,5,3))&gt;=800,1000,2000)+VALUE(MID(C127,5,3))),"")</f>
        <v/>
      </c>
      <c r="N127">
        <f>IFERROR(IF(M127="","",IF(AND(DAY(DATE(M127,VALUE(MID(C127,3,2)),VALUE(MID(C127,1,2))))=VALUE(MID(C127,1,2)),MONTH(DATE(M127,VALUE(MID(C127,3,2)),VALUE(MID(C127,1,2))))=VALUE(MID(C127,3,2))),DATE(M127,VALUE(MID(C127,3,2)),VALUE(MID(C127,1,2))),"")),"")</f>
        <v/>
      </c>
    </row>
    <row r="128">
      <c r="A128" s="2" t="n"/>
      <c r="B128" s="2" t="n"/>
      <c r="C128" s="3" t="n"/>
      <c r="D128" s="2" t="n"/>
      <c r="E128" s="4">
        <f>IF(A128="","",5)</f>
        <v/>
      </c>
      <c r="F128" s="2" t="n"/>
      <c r="G128" s="4" t="n"/>
      <c r="H128" s="2" t="n"/>
      <c r="I128" s="2" t="n"/>
      <c r="J128" s="2">
        <f>IF(C128="","",IF(LEN(C128)&lt;&gt;13,"Nema 13 cifara (ima "&amp;LEN(C128)&amp;")",IF(L128="","JMBG sadrži nešto što nije cifra",IF(N128="","Nepostojeći datum rođenja",IF(VALUE(MID(C128,13,1))&lt;&gt;L128,"Pogrešna kontrolna cifra - treba "&amp;L128,"✓ ispravan")))))</f>
        <v/>
      </c>
      <c r="K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L128">
        <f>IF(K128="","",IF(11-MOD(K128,11)&gt;9,0,11-MOD(K128,11)))</f>
        <v/>
      </c>
      <c r="M128">
        <f>IFERROR(IF(LEN(C128)&lt;&gt;13,"",IF(VALUE(MID(C128,5,3))&gt;=800,1000,2000)+VALUE(MID(C128,5,3))),"")</f>
        <v/>
      </c>
      <c r="N128">
        <f>IFERROR(IF(M128="","",IF(AND(DAY(DATE(M128,VALUE(MID(C128,3,2)),VALUE(MID(C128,1,2))))=VALUE(MID(C128,1,2)),MONTH(DATE(M128,VALUE(MID(C128,3,2)),VALUE(MID(C128,1,2))))=VALUE(MID(C128,3,2))),DATE(M128,VALUE(MID(C128,3,2)),VALUE(MID(C128,1,2))),"")),"")</f>
        <v/>
      </c>
    </row>
    <row r="129">
      <c r="A129" s="2" t="n"/>
      <c r="B129" s="2" t="n"/>
      <c r="C129" s="3" t="n"/>
      <c r="D129" s="2" t="n"/>
      <c r="E129" s="4">
        <f>IF(A129="","",5)</f>
        <v/>
      </c>
      <c r="F129" s="2" t="n"/>
      <c r="G129" s="4" t="n"/>
      <c r="H129" s="2" t="n"/>
      <c r="I129" s="2" t="n"/>
      <c r="J129" s="2">
        <f>IF(C129="","",IF(LEN(C129)&lt;&gt;13,"Nema 13 cifara (ima "&amp;LEN(C129)&amp;")",IF(L129="","JMBG sadrži nešto što nije cifra",IF(N129="","Nepostojeći datum rođenja",IF(VALUE(MID(C129,13,1))&lt;&gt;L129,"Pogrešna kontrolna cifra - treba "&amp;L129,"✓ ispravan")))))</f>
        <v/>
      </c>
      <c r="K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L129">
        <f>IF(K129="","",IF(11-MOD(K129,11)&gt;9,0,11-MOD(K129,11)))</f>
        <v/>
      </c>
      <c r="M129">
        <f>IFERROR(IF(LEN(C129)&lt;&gt;13,"",IF(VALUE(MID(C129,5,3))&gt;=800,1000,2000)+VALUE(MID(C129,5,3))),"")</f>
        <v/>
      </c>
      <c r="N129">
        <f>IFERROR(IF(M129="","",IF(AND(DAY(DATE(M129,VALUE(MID(C129,3,2)),VALUE(MID(C129,1,2))))=VALUE(MID(C129,1,2)),MONTH(DATE(M129,VALUE(MID(C129,3,2)),VALUE(MID(C129,1,2))))=VALUE(MID(C129,3,2))),DATE(M129,VALUE(MID(C129,3,2)),VALUE(MID(C129,1,2))),"")),"")</f>
        <v/>
      </c>
    </row>
    <row r="130">
      <c r="A130" s="2" t="n"/>
      <c r="B130" s="2" t="n"/>
      <c r="C130" s="3" t="n"/>
      <c r="D130" s="2" t="n"/>
      <c r="E130" s="4">
        <f>IF(A130="","",5)</f>
        <v/>
      </c>
      <c r="F130" s="2" t="n"/>
      <c r="G130" s="4" t="n"/>
      <c r="H130" s="2" t="n"/>
      <c r="I130" s="2" t="n"/>
      <c r="J130" s="2">
        <f>IF(C130="","",IF(LEN(C130)&lt;&gt;13,"Nema 13 cifara (ima "&amp;LEN(C130)&amp;")",IF(L130="","JMBG sadrži nešto što nije cifra",IF(N130="","Nepostojeći datum rođenja",IF(VALUE(MID(C130,13,1))&lt;&gt;L130,"Pogrešna kontrolna cifra - treba "&amp;L130,"✓ ispravan")))))</f>
        <v/>
      </c>
      <c r="K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L130">
        <f>IF(K130="","",IF(11-MOD(K130,11)&gt;9,0,11-MOD(K130,11)))</f>
        <v/>
      </c>
      <c r="M130">
        <f>IFERROR(IF(LEN(C130)&lt;&gt;13,"",IF(VALUE(MID(C130,5,3))&gt;=800,1000,2000)+VALUE(MID(C130,5,3))),"")</f>
        <v/>
      </c>
      <c r="N130">
        <f>IFERROR(IF(M130="","",IF(AND(DAY(DATE(M130,VALUE(MID(C130,3,2)),VALUE(MID(C130,1,2))))=VALUE(MID(C130,1,2)),MONTH(DATE(M130,VALUE(MID(C130,3,2)),VALUE(MID(C130,1,2))))=VALUE(MID(C130,3,2))),DATE(M130,VALUE(MID(C130,3,2)),VALUE(MID(C130,1,2))),"")),"")</f>
        <v/>
      </c>
    </row>
    <row r="131">
      <c r="A131" s="2" t="n"/>
      <c r="B131" s="2" t="n"/>
      <c r="C131" s="3" t="n"/>
      <c r="D131" s="2" t="n"/>
      <c r="E131" s="4">
        <f>IF(A131="","",5)</f>
        <v/>
      </c>
      <c r="F131" s="2" t="n"/>
      <c r="G131" s="4" t="n"/>
      <c r="H131" s="2" t="n"/>
      <c r="I131" s="2" t="n"/>
      <c r="J131" s="2">
        <f>IF(C131="","",IF(LEN(C131)&lt;&gt;13,"Nema 13 cifara (ima "&amp;LEN(C131)&amp;")",IF(L131="","JMBG sadrži nešto što nije cifra",IF(N131="","Nepostojeći datum rođenja",IF(VALUE(MID(C131,13,1))&lt;&gt;L131,"Pogrešna kontrolna cifra - treba "&amp;L131,"✓ ispravan")))))</f>
        <v/>
      </c>
      <c r="K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L131">
        <f>IF(K131="","",IF(11-MOD(K131,11)&gt;9,0,11-MOD(K131,11)))</f>
        <v/>
      </c>
      <c r="M131">
        <f>IFERROR(IF(LEN(C131)&lt;&gt;13,"",IF(VALUE(MID(C131,5,3))&gt;=800,1000,2000)+VALUE(MID(C131,5,3))),"")</f>
        <v/>
      </c>
      <c r="N131">
        <f>IFERROR(IF(M131="","",IF(AND(DAY(DATE(M131,VALUE(MID(C131,3,2)),VALUE(MID(C131,1,2))))=VALUE(MID(C131,1,2)),MONTH(DATE(M131,VALUE(MID(C131,3,2)),VALUE(MID(C131,1,2))))=VALUE(MID(C131,3,2))),DATE(M131,VALUE(MID(C131,3,2)),VALUE(MID(C131,1,2))),"")),"")</f>
        <v/>
      </c>
    </row>
    <row r="132">
      <c r="A132" s="2" t="n"/>
      <c r="B132" s="2" t="n"/>
      <c r="C132" s="3" t="n"/>
      <c r="D132" s="2" t="n"/>
      <c r="E132" s="4">
        <f>IF(A132="","",5)</f>
        <v/>
      </c>
      <c r="F132" s="2" t="n"/>
      <c r="G132" s="4" t="n"/>
      <c r="H132" s="2" t="n"/>
      <c r="I132" s="2" t="n"/>
      <c r="J132" s="2">
        <f>IF(C132="","",IF(LEN(C132)&lt;&gt;13,"Nema 13 cifara (ima "&amp;LEN(C132)&amp;")",IF(L132="","JMBG sadrži nešto što nije cifra",IF(N132="","Nepostojeći datum rođenja",IF(VALUE(MID(C132,13,1))&lt;&gt;L132,"Pogrešna kontrolna cifra - treba "&amp;L132,"✓ ispravan")))))</f>
        <v/>
      </c>
      <c r="K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L132">
        <f>IF(K132="","",IF(11-MOD(K132,11)&gt;9,0,11-MOD(K132,11)))</f>
        <v/>
      </c>
      <c r="M132">
        <f>IFERROR(IF(LEN(C132)&lt;&gt;13,"",IF(VALUE(MID(C132,5,3))&gt;=800,1000,2000)+VALUE(MID(C132,5,3))),"")</f>
        <v/>
      </c>
      <c r="N132">
        <f>IFERROR(IF(M132="","",IF(AND(DAY(DATE(M132,VALUE(MID(C132,3,2)),VALUE(MID(C132,1,2))))=VALUE(MID(C132,1,2)),MONTH(DATE(M132,VALUE(MID(C132,3,2)),VALUE(MID(C132,1,2))))=VALUE(MID(C132,3,2))),DATE(M132,VALUE(MID(C132,3,2)),VALUE(MID(C132,1,2))),"")),"")</f>
        <v/>
      </c>
    </row>
    <row r="133">
      <c r="A133" s="2" t="n"/>
      <c r="B133" s="2" t="n"/>
      <c r="C133" s="3" t="n"/>
      <c r="D133" s="2" t="n"/>
      <c r="E133" s="4">
        <f>IF(A133="","",5)</f>
        <v/>
      </c>
      <c r="F133" s="2" t="n"/>
      <c r="G133" s="4" t="n"/>
      <c r="H133" s="2" t="n"/>
      <c r="I133" s="2" t="n"/>
      <c r="J133" s="2">
        <f>IF(C133="","",IF(LEN(C133)&lt;&gt;13,"Nema 13 cifara (ima "&amp;LEN(C133)&amp;")",IF(L133="","JMBG sadrži nešto što nije cifra",IF(N133="","Nepostojeći datum rođenja",IF(VALUE(MID(C133,13,1))&lt;&gt;L133,"Pogrešna kontrolna cifra - treba "&amp;L133,"✓ ispravan")))))</f>
        <v/>
      </c>
      <c r="K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L133">
        <f>IF(K133="","",IF(11-MOD(K133,11)&gt;9,0,11-MOD(K133,11)))</f>
        <v/>
      </c>
      <c r="M133">
        <f>IFERROR(IF(LEN(C133)&lt;&gt;13,"",IF(VALUE(MID(C133,5,3))&gt;=800,1000,2000)+VALUE(MID(C133,5,3))),"")</f>
        <v/>
      </c>
      <c r="N133">
        <f>IFERROR(IF(M133="","",IF(AND(DAY(DATE(M133,VALUE(MID(C133,3,2)),VALUE(MID(C133,1,2))))=VALUE(MID(C133,1,2)),MONTH(DATE(M133,VALUE(MID(C133,3,2)),VALUE(MID(C133,1,2))))=VALUE(MID(C133,3,2))),DATE(M133,VALUE(MID(C133,3,2)),VALUE(MID(C133,1,2))),"")),"")</f>
        <v/>
      </c>
    </row>
    <row r="134">
      <c r="A134" s="2" t="n"/>
      <c r="B134" s="2" t="n"/>
      <c r="C134" s="3" t="n"/>
      <c r="D134" s="2" t="n"/>
      <c r="E134" s="4">
        <f>IF(A134="","",5)</f>
        <v/>
      </c>
      <c r="F134" s="2" t="n"/>
      <c r="G134" s="4" t="n"/>
      <c r="H134" s="2" t="n"/>
      <c r="I134" s="2" t="n"/>
      <c r="J134" s="2">
        <f>IF(C134="","",IF(LEN(C134)&lt;&gt;13,"Nema 13 cifara (ima "&amp;LEN(C134)&amp;")",IF(L134="","JMBG sadrži nešto što nije cifra",IF(N134="","Nepostojeći datum rođenja",IF(VALUE(MID(C134,13,1))&lt;&gt;L134,"Pogrešna kontrolna cifra - treba "&amp;L134,"✓ ispravan")))))</f>
        <v/>
      </c>
      <c r="K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L134">
        <f>IF(K134="","",IF(11-MOD(K134,11)&gt;9,0,11-MOD(K134,11)))</f>
        <v/>
      </c>
      <c r="M134">
        <f>IFERROR(IF(LEN(C134)&lt;&gt;13,"",IF(VALUE(MID(C134,5,3))&gt;=800,1000,2000)+VALUE(MID(C134,5,3))),"")</f>
        <v/>
      </c>
      <c r="N134">
        <f>IFERROR(IF(M134="","",IF(AND(DAY(DATE(M134,VALUE(MID(C134,3,2)),VALUE(MID(C134,1,2))))=VALUE(MID(C134,1,2)),MONTH(DATE(M134,VALUE(MID(C134,3,2)),VALUE(MID(C134,1,2))))=VALUE(MID(C134,3,2))),DATE(M134,VALUE(MID(C134,3,2)),VALUE(MID(C134,1,2))),"")),"")</f>
        <v/>
      </c>
    </row>
    <row r="135">
      <c r="A135" s="2" t="n"/>
      <c r="B135" s="2" t="n"/>
      <c r="C135" s="3" t="n"/>
      <c r="D135" s="2" t="n"/>
      <c r="E135" s="4">
        <f>IF(A135="","",5)</f>
        <v/>
      </c>
      <c r="F135" s="2" t="n"/>
      <c r="G135" s="4" t="n"/>
      <c r="H135" s="2" t="n"/>
      <c r="I135" s="2" t="n"/>
      <c r="J135" s="2">
        <f>IF(C135="","",IF(LEN(C135)&lt;&gt;13,"Nema 13 cifara (ima "&amp;LEN(C135)&amp;")",IF(L135="","JMBG sadrži nešto što nije cifra",IF(N135="","Nepostojeći datum rođenja",IF(VALUE(MID(C135,13,1))&lt;&gt;L135,"Pogrešna kontrolna cifra - treba "&amp;L135,"✓ ispravan")))))</f>
        <v/>
      </c>
      <c r="K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L135">
        <f>IF(K135="","",IF(11-MOD(K135,11)&gt;9,0,11-MOD(K135,11)))</f>
        <v/>
      </c>
      <c r="M135">
        <f>IFERROR(IF(LEN(C135)&lt;&gt;13,"",IF(VALUE(MID(C135,5,3))&gt;=800,1000,2000)+VALUE(MID(C135,5,3))),"")</f>
        <v/>
      </c>
      <c r="N135">
        <f>IFERROR(IF(M135="","",IF(AND(DAY(DATE(M135,VALUE(MID(C135,3,2)),VALUE(MID(C135,1,2))))=VALUE(MID(C135,1,2)),MONTH(DATE(M135,VALUE(MID(C135,3,2)),VALUE(MID(C135,1,2))))=VALUE(MID(C135,3,2))),DATE(M135,VALUE(MID(C135,3,2)),VALUE(MID(C135,1,2))),"")),"")</f>
        <v/>
      </c>
    </row>
    <row r="136">
      <c r="A136" s="2" t="n"/>
      <c r="B136" s="2" t="n"/>
      <c r="C136" s="3" t="n"/>
      <c r="D136" s="2" t="n"/>
      <c r="E136" s="4">
        <f>IF(A136="","",5)</f>
        <v/>
      </c>
      <c r="F136" s="2" t="n"/>
      <c r="G136" s="4" t="n"/>
      <c r="H136" s="2" t="n"/>
      <c r="I136" s="2" t="n"/>
      <c r="J136" s="2">
        <f>IF(C136="","",IF(LEN(C136)&lt;&gt;13,"Nema 13 cifara (ima "&amp;LEN(C136)&amp;")",IF(L136="","JMBG sadrži nešto što nije cifra",IF(N136="","Nepostojeći datum rođenja",IF(VALUE(MID(C136,13,1))&lt;&gt;L136,"Pogrešna kontrolna cifra - treba "&amp;L136,"✓ ispravan")))))</f>
        <v/>
      </c>
      <c r="K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L136">
        <f>IF(K136="","",IF(11-MOD(K136,11)&gt;9,0,11-MOD(K136,11)))</f>
        <v/>
      </c>
      <c r="M136">
        <f>IFERROR(IF(LEN(C136)&lt;&gt;13,"",IF(VALUE(MID(C136,5,3))&gt;=800,1000,2000)+VALUE(MID(C136,5,3))),"")</f>
        <v/>
      </c>
      <c r="N136">
        <f>IFERROR(IF(M136="","",IF(AND(DAY(DATE(M136,VALUE(MID(C136,3,2)),VALUE(MID(C136,1,2))))=VALUE(MID(C136,1,2)),MONTH(DATE(M136,VALUE(MID(C136,3,2)),VALUE(MID(C136,1,2))))=VALUE(MID(C136,3,2))),DATE(M136,VALUE(MID(C136,3,2)),VALUE(MID(C136,1,2))),"")),"")</f>
        <v/>
      </c>
    </row>
    <row r="137">
      <c r="A137" s="2" t="n"/>
      <c r="B137" s="2" t="n"/>
      <c r="C137" s="3" t="n"/>
      <c r="D137" s="2" t="n"/>
      <c r="E137" s="4">
        <f>IF(A137="","",5)</f>
        <v/>
      </c>
      <c r="F137" s="2" t="n"/>
      <c r="G137" s="4" t="n"/>
      <c r="H137" s="2" t="n"/>
      <c r="I137" s="2" t="n"/>
      <c r="J137" s="2">
        <f>IF(C137="","",IF(LEN(C137)&lt;&gt;13,"Nema 13 cifara (ima "&amp;LEN(C137)&amp;")",IF(L137="","JMBG sadrži nešto što nije cifra",IF(N137="","Nepostojeći datum rođenja",IF(VALUE(MID(C137,13,1))&lt;&gt;L137,"Pogrešna kontrolna cifra - treba "&amp;L137,"✓ ispravan")))))</f>
        <v/>
      </c>
      <c r="K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L137">
        <f>IF(K137="","",IF(11-MOD(K137,11)&gt;9,0,11-MOD(K137,11)))</f>
        <v/>
      </c>
      <c r="M137">
        <f>IFERROR(IF(LEN(C137)&lt;&gt;13,"",IF(VALUE(MID(C137,5,3))&gt;=800,1000,2000)+VALUE(MID(C137,5,3))),"")</f>
        <v/>
      </c>
      <c r="N137">
        <f>IFERROR(IF(M137="","",IF(AND(DAY(DATE(M137,VALUE(MID(C137,3,2)),VALUE(MID(C137,1,2))))=VALUE(MID(C137,1,2)),MONTH(DATE(M137,VALUE(MID(C137,3,2)),VALUE(MID(C137,1,2))))=VALUE(MID(C137,3,2))),DATE(M137,VALUE(MID(C137,3,2)),VALUE(MID(C137,1,2))),"")),"")</f>
        <v/>
      </c>
    </row>
    <row r="138">
      <c r="A138" s="2" t="n"/>
      <c r="B138" s="2" t="n"/>
      <c r="C138" s="3" t="n"/>
      <c r="D138" s="2" t="n"/>
      <c r="E138" s="4">
        <f>IF(A138="","",5)</f>
        <v/>
      </c>
      <c r="F138" s="2" t="n"/>
      <c r="G138" s="4" t="n"/>
      <c r="H138" s="2" t="n"/>
      <c r="I138" s="2" t="n"/>
      <c r="J138" s="2">
        <f>IF(C138="","",IF(LEN(C138)&lt;&gt;13,"Nema 13 cifara (ima "&amp;LEN(C138)&amp;")",IF(L138="","JMBG sadrži nešto što nije cifra",IF(N138="","Nepostojeći datum rođenja",IF(VALUE(MID(C138,13,1))&lt;&gt;L138,"Pogrešna kontrolna cifra - treba "&amp;L138,"✓ ispravan")))))</f>
        <v/>
      </c>
      <c r="K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L138">
        <f>IF(K138="","",IF(11-MOD(K138,11)&gt;9,0,11-MOD(K138,11)))</f>
        <v/>
      </c>
      <c r="M138">
        <f>IFERROR(IF(LEN(C138)&lt;&gt;13,"",IF(VALUE(MID(C138,5,3))&gt;=800,1000,2000)+VALUE(MID(C138,5,3))),"")</f>
        <v/>
      </c>
      <c r="N138">
        <f>IFERROR(IF(M138="","",IF(AND(DAY(DATE(M138,VALUE(MID(C138,3,2)),VALUE(MID(C138,1,2))))=VALUE(MID(C138,1,2)),MONTH(DATE(M138,VALUE(MID(C138,3,2)),VALUE(MID(C138,1,2))))=VALUE(MID(C138,3,2))),DATE(M138,VALUE(MID(C138,3,2)),VALUE(MID(C138,1,2))),"")),"")</f>
        <v/>
      </c>
    </row>
    <row r="139">
      <c r="A139" s="2" t="n"/>
      <c r="B139" s="2" t="n"/>
      <c r="C139" s="3" t="n"/>
      <c r="D139" s="2" t="n"/>
      <c r="E139" s="4">
        <f>IF(A139="","",5)</f>
        <v/>
      </c>
      <c r="F139" s="2" t="n"/>
      <c r="G139" s="4" t="n"/>
      <c r="H139" s="2" t="n"/>
      <c r="I139" s="2" t="n"/>
      <c r="J139" s="2">
        <f>IF(C139="","",IF(LEN(C139)&lt;&gt;13,"Nema 13 cifara (ima "&amp;LEN(C139)&amp;")",IF(L139="","JMBG sadrži nešto što nije cifra",IF(N139="","Nepostojeći datum rođenja",IF(VALUE(MID(C139,13,1))&lt;&gt;L139,"Pogrešna kontrolna cifra - treba "&amp;L139,"✓ ispravan")))))</f>
        <v/>
      </c>
      <c r="K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L139">
        <f>IF(K139="","",IF(11-MOD(K139,11)&gt;9,0,11-MOD(K139,11)))</f>
        <v/>
      </c>
      <c r="M139">
        <f>IFERROR(IF(LEN(C139)&lt;&gt;13,"",IF(VALUE(MID(C139,5,3))&gt;=800,1000,2000)+VALUE(MID(C139,5,3))),"")</f>
        <v/>
      </c>
      <c r="N139">
        <f>IFERROR(IF(M139="","",IF(AND(DAY(DATE(M139,VALUE(MID(C139,3,2)),VALUE(MID(C139,1,2))))=VALUE(MID(C139,1,2)),MONTH(DATE(M139,VALUE(MID(C139,3,2)),VALUE(MID(C139,1,2))))=VALUE(MID(C139,3,2))),DATE(M139,VALUE(MID(C139,3,2)),VALUE(MID(C139,1,2))),"")),"")</f>
        <v/>
      </c>
    </row>
    <row r="140">
      <c r="A140" s="2" t="n"/>
      <c r="B140" s="2" t="n"/>
      <c r="C140" s="3" t="n"/>
      <c r="D140" s="2" t="n"/>
      <c r="E140" s="4">
        <f>IF(A140="","",5)</f>
        <v/>
      </c>
      <c r="F140" s="2" t="n"/>
      <c r="G140" s="4" t="n"/>
      <c r="H140" s="2" t="n"/>
      <c r="I140" s="2" t="n"/>
      <c r="J140" s="2">
        <f>IF(C140="","",IF(LEN(C140)&lt;&gt;13,"Nema 13 cifara (ima "&amp;LEN(C140)&amp;")",IF(L140="","JMBG sadrži nešto što nije cifra",IF(N140="","Nepostojeći datum rođenja",IF(VALUE(MID(C140,13,1))&lt;&gt;L140,"Pogrešna kontrolna cifra - treba "&amp;L140,"✓ ispravan")))))</f>
        <v/>
      </c>
      <c r="K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L140">
        <f>IF(K140="","",IF(11-MOD(K140,11)&gt;9,0,11-MOD(K140,11)))</f>
        <v/>
      </c>
      <c r="M140">
        <f>IFERROR(IF(LEN(C140)&lt;&gt;13,"",IF(VALUE(MID(C140,5,3))&gt;=800,1000,2000)+VALUE(MID(C140,5,3))),"")</f>
        <v/>
      </c>
      <c r="N140">
        <f>IFERROR(IF(M140="","",IF(AND(DAY(DATE(M140,VALUE(MID(C140,3,2)),VALUE(MID(C140,1,2))))=VALUE(MID(C140,1,2)),MONTH(DATE(M140,VALUE(MID(C140,3,2)),VALUE(MID(C140,1,2))))=VALUE(MID(C140,3,2))),DATE(M140,VALUE(MID(C140,3,2)),VALUE(MID(C140,1,2))),"")),"")</f>
        <v/>
      </c>
    </row>
    <row r="141">
      <c r="A141" s="2" t="n"/>
      <c r="B141" s="2" t="n"/>
      <c r="C141" s="3" t="n"/>
      <c r="D141" s="2" t="n"/>
      <c r="E141" s="4">
        <f>IF(A141="","",5)</f>
        <v/>
      </c>
      <c r="F141" s="2" t="n"/>
      <c r="G141" s="4" t="n"/>
      <c r="H141" s="2" t="n"/>
      <c r="I141" s="2" t="n"/>
      <c r="J141" s="2">
        <f>IF(C141="","",IF(LEN(C141)&lt;&gt;13,"Nema 13 cifara (ima "&amp;LEN(C141)&amp;")",IF(L141="","JMBG sadrži nešto što nije cifra",IF(N141="","Nepostojeći datum rođenja",IF(VALUE(MID(C141,13,1))&lt;&gt;L141,"Pogrešna kontrolna cifra - treba "&amp;L141,"✓ ispravan")))))</f>
        <v/>
      </c>
      <c r="K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L141">
        <f>IF(K141="","",IF(11-MOD(K141,11)&gt;9,0,11-MOD(K141,11)))</f>
        <v/>
      </c>
      <c r="M141">
        <f>IFERROR(IF(LEN(C141)&lt;&gt;13,"",IF(VALUE(MID(C141,5,3))&gt;=800,1000,2000)+VALUE(MID(C141,5,3))),"")</f>
        <v/>
      </c>
      <c r="N141">
        <f>IFERROR(IF(M141="","",IF(AND(DAY(DATE(M141,VALUE(MID(C141,3,2)),VALUE(MID(C141,1,2))))=VALUE(MID(C141,1,2)),MONTH(DATE(M141,VALUE(MID(C141,3,2)),VALUE(MID(C141,1,2))))=VALUE(MID(C141,3,2))),DATE(M141,VALUE(MID(C141,3,2)),VALUE(MID(C141,1,2))),"")),"")</f>
        <v/>
      </c>
    </row>
    <row r="142">
      <c r="A142" s="2" t="n"/>
      <c r="B142" s="2" t="n"/>
      <c r="C142" s="3" t="n"/>
      <c r="D142" s="2" t="n"/>
      <c r="E142" s="4">
        <f>IF(A142="","",5)</f>
        <v/>
      </c>
      <c r="F142" s="2" t="n"/>
      <c r="G142" s="4" t="n"/>
      <c r="H142" s="2" t="n"/>
      <c r="I142" s="2" t="n"/>
      <c r="J142" s="2">
        <f>IF(C142="","",IF(LEN(C142)&lt;&gt;13,"Nema 13 cifara (ima "&amp;LEN(C142)&amp;")",IF(L142="","JMBG sadrži nešto što nije cifra",IF(N142="","Nepostojeći datum rođenja",IF(VALUE(MID(C142,13,1))&lt;&gt;L142,"Pogrešna kontrolna cifra - treba "&amp;L142,"✓ ispravan")))))</f>
        <v/>
      </c>
      <c r="K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L142">
        <f>IF(K142="","",IF(11-MOD(K142,11)&gt;9,0,11-MOD(K142,11)))</f>
        <v/>
      </c>
      <c r="M142">
        <f>IFERROR(IF(LEN(C142)&lt;&gt;13,"",IF(VALUE(MID(C142,5,3))&gt;=800,1000,2000)+VALUE(MID(C142,5,3))),"")</f>
        <v/>
      </c>
      <c r="N142">
        <f>IFERROR(IF(M142="","",IF(AND(DAY(DATE(M142,VALUE(MID(C142,3,2)),VALUE(MID(C142,1,2))))=VALUE(MID(C142,1,2)),MONTH(DATE(M142,VALUE(MID(C142,3,2)),VALUE(MID(C142,1,2))))=VALUE(MID(C142,3,2))),DATE(M142,VALUE(MID(C142,3,2)),VALUE(MID(C142,1,2))),"")),"")</f>
        <v/>
      </c>
    </row>
    <row r="143">
      <c r="A143" s="2" t="n"/>
      <c r="B143" s="2" t="n"/>
      <c r="C143" s="3" t="n"/>
      <c r="D143" s="2" t="n"/>
      <c r="E143" s="4">
        <f>IF(A143="","",5)</f>
        <v/>
      </c>
      <c r="F143" s="2" t="n"/>
      <c r="G143" s="4" t="n"/>
      <c r="H143" s="2" t="n"/>
      <c r="I143" s="2" t="n"/>
      <c r="J143" s="2">
        <f>IF(C143="","",IF(LEN(C143)&lt;&gt;13,"Nema 13 cifara (ima "&amp;LEN(C143)&amp;")",IF(L143="","JMBG sadrži nešto što nije cifra",IF(N143="","Nepostojeći datum rođenja",IF(VALUE(MID(C143,13,1))&lt;&gt;L143,"Pogrešna kontrolna cifra - treba "&amp;L143,"✓ ispravan")))))</f>
        <v/>
      </c>
      <c r="K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L143">
        <f>IF(K143="","",IF(11-MOD(K143,11)&gt;9,0,11-MOD(K143,11)))</f>
        <v/>
      </c>
      <c r="M143">
        <f>IFERROR(IF(LEN(C143)&lt;&gt;13,"",IF(VALUE(MID(C143,5,3))&gt;=800,1000,2000)+VALUE(MID(C143,5,3))),"")</f>
        <v/>
      </c>
      <c r="N143">
        <f>IFERROR(IF(M143="","",IF(AND(DAY(DATE(M143,VALUE(MID(C143,3,2)),VALUE(MID(C143,1,2))))=VALUE(MID(C143,1,2)),MONTH(DATE(M143,VALUE(MID(C143,3,2)),VALUE(MID(C143,1,2))))=VALUE(MID(C143,3,2))),DATE(M143,VALUE(MID(C143,3,2)),VALUE(MID(C143,1,2))),"")),"")</f>
        <v/>
      </c>
    </row>
    <row r="144">
      <c r="A144" s="2" t="n"/>
      <c r="B144" s="2" t="n"/>
      <c r="C144" s="3" t="n"/>
      <c r="D144" s="2" t="n"/>
      <c r="E144" s="4">
        <f>IF(A144="","",5)</f>
        <v/>
      </c>
      <c r="F144" s="2" t="n"/>
      <c r="G144" s="4" t="n"/>
      <c r="H144" s="2" t="n"/>
      <c r="I144" s="2" t="n"/>
      <c r="J144" s="2">
        <f>IF(C144="","",IF(LEN(C144)&lt;&gt;13,"Nema 13 cifara (ima "&amp;LEN(C144)&amp;")",IF(L144="","JMBG sadrži nešto što nije cifra",IF(N144="","Nepostojeći datum rođenja",IF(VALUE(MID(C144,13,1))&lt;&gt;L144,"Pogrešna kontrolna cifra - treba "&amp;L144,"✓ ispravan")))))</f>
        <v/>
      </c>
      <c r="K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L144">
        <f>IF(K144="","",IF(11-MOD(K144,11)&gt;9,0,11-MOD(K144,11)))</f>
        <v/>
      </c>
      <c r="M144">
        <f>IFERROR(IF(LEN(C144)&lt;&gt;13,"",IF(VALUE(MID(C144,5,3))&gt;=800,1000,2000)+VALUE(MID(C144,5,3))),"")</f>
        <v/>
      </c>
      <c r="N144">
        <f>IFERROR(IF(M144="","",IF(AND(DAY(DATE(M144,VALUE(MID(C144,3,2)),VALUE(MID(C144,1,2))))=VALUE(MID(C144,1,2)),MONTH(DATE(M144,VALUE(MID(C144,3,2)),VALUE(MID(C144,1,2))))=VALUE(MID(C144,3,2))),DATE(M144,VALUE(MID(C144,3,2)),VALUE(MID(C144,1,2))),"")),"")</f>
        <v/>
      </c>
    </row>
    <row r="145">
      <c r="A145" s="2" t="n"/>
      <c r="B145" s="2" t="n"/>
      <c r="C145" s="3" t="n"/>
      <c r="D145" s="2" t="n"/>
      <c r="E145" s="4">
        <f>IF(A145="","",5)</f>
        <v/>
      </c>
      <c r="F145" s="2" t="n"/>
      <c r="G145" s="4" t="n"/>
      <c r="H145" s="2" t="n"/>
      <c r="I145" s="2" t="n"/>
      <c r="J145" s="2">
        <f>IF(C145="","",IF(LEN(C145)&lt;&gt;13,"Nema 13 cifara (ima "&amp;LEN(C145)&amp;")",IF(L145="","JMBG sadrži nešto što nije cifra",IF(N145="","Nepostojeći datum rođenja",IF(VALUE(MID(C145,13,1))&lt;&gt;L145,"Pogrešna kontrolna cifra - treba "&amp;L145,"✓ ispravan")))))</f>
        <v/>
      </c>
      <c r="K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L145">
        <f>IF(K145="","",IF(11-MOD(K145,11)&gt;9,0,11-MOD(K145,11)))</f>
        <v/>
      </c>
      <c r="M145">
        <f>IFERROR(IF(LEN(C145)&lt;&gt;13,"",IF(VALUE(MID(C145,5,3))&gt;=800,1000,2000)+VALUE(MID(C145,5,3))),"")</f>
        <v/>
      </c>
      <c r="N145">
        <f>IFERROR(IF(M145="","",IF(AND(DAY(DATE(M145,VALUE(MID(C145,3,2)),VALUE(MID(C145,1,2))))=VALUE(MID(C145,1,2)),MONTH(DATE(M145,VALUE(MID(C145,3,2)),VALUE(MID(C145,1,2))))=VALUE(MID(C145,3,2))),DATE(M145,VALUE(MID(C145,3,2)),VALUE(MID(C145,1,2))),"")),"")</f>
        <v/>
      </c>
    </row>
    <row r="146">
      <c r="A146" s="2" t="n"/>
      <c r="B146" s="2" t="n"/>
      <c r="C146" s="3" t="n"/>
      <c r="D146" s="2" t="n"/>
      <c r="E146" s="4">
        <f>IF(A146="","",5)</f>
        <v/>
      </c>
      <c r="F146" s="2" t="n"/>
      <c r="G146" s="4" t="n"/>
      <c r="H146" s="2" t="n"/>
      <c r="I146" s="2" t="n"/>
      <c r="J146" s="2">
        <f>IF(C146="","",IF(LEN(C146)&lt;&gt;13,"Nema 13 cifara (ima "&amp;LEN(C146)&amp;")",IF(L146="","JMBG sadrži nešto što nije cifra",IF(N146="","Nepostojeći datum rođenja",IF(VALUE(MID(C146,13,1))&lt;&gt;L146,"Pogrešna kontrolna cifra - treba "&amp;L146,"✓ ispravan")))))</f>
        <v/>
      </c>
      <c r="K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L146">
        <f>IF(K146="","",IF(11-MOD(K146,11)&gt;9,0,11-MOD(K146,11)))</f>
        <v/>
      </c>
      <c r="M146">
        <f>IFERROR(IF(LEN(C146)&lt;&gt;13,"",IF(VALUE(MID(C146,5,3))&gt;=800,1000,2000)+VALUE(MID(C146,5,3))),"")</f>
        <v/>
      </c>
      <c r="N146">
        <f>IFERROR(IF(M146="","",IF(AND(DAY(DATE(M146,VALUE(MID(C146,3,2)),VALUE(MID(C146,1,2))))=VALUE(MID(C146,1,2)),MONTH(DATE(M146,VALUE(MID(C146,3,2)),VALUE(MID(C146,1,2))))=VALUE(MID(C146,3,2))),DATE(M146,VALUE(MID(C146,3,2)),VALUE(MID(C146,1,2))),"")),"")</f>
        <v/>
      </c>
    </row>
    <row r="147">
      <c r="A147" s="2" t="n"/>
      <c r="B147" s="2" t="n"/>
      <c r="C147" s="3" t="n"/>
      <c r="D147" s="2" t="n"/>
      <c r="E147" s="4">
        <f>IF(A147="","",5)</f>
        <v/>
      </c>
      <c r="F147" s="2" t="n"/>
      <c r="G147" s="4" t="n"/>
      <c r="H147" s="2" t="n"/>
      <c r="I147" s="2" t="n"/>
      <c r="J147" s="2">
        <f>IF(C147="","",IF(LEN(C147)&lt;&gt;13,"Nema 13 cifara (ima "&amp;LEN(C147)&amp;")",IF(L147="","JMBG sadrži nešto što nije cifra",IF(N147="","Nepostojeći datum rođenja",IF(VALUE(MID(C147,13,1))&lt;&gt;L147,"Pogrešna kontrolna cifra - treba "&amp;L147,"✓ ispravan")))))</f>
        <v/>
      </c>
      <c r="K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L147">
        <f>IF(K147="","",IF(11-MOD(K147,11)&gt;9,0,11-MOD(K147,11)))</f>
        <v/>
      </c>
      <c r="M147">
        <f>IFERROR(IF(LEN(C147)&lt;&gt;13,"",IF(VALUE(MID(C147,5,3))&gt;=800,1000,2000)+VALUE(MID(C147,5,3))),"")</f>
        <v/>
      </c>
      <c r="N147">
        <f>IFERROR(IF(M147="","",IF(AND(DAY(DATE(M147,VALUE(MID(C147,3,2)),VALUE(MID(C147,1,2))))=VALUE(MID(C147,1,2)),MONTH(DATE(M147,VALUE(MID(C147,3,2)),VALUE(MID(C147,1,2))))=VALUE(MID(C147,3,2))),DATE(M147,VALUE(MID(C147,3,2)),VALUE(MID(C147,1,2))),"")),"")</f>
        <v/>
      </c>
    </row>
    <row r="148">
      <c r="A148" s="2" t="n"/>
      <c r="B148" s="2" t="n"/>
      <c r="C148" s="3" t="n"/>
      <c r="D148" s="2" t="n"/>
      <c r="E148" s="4">
        <f>IF(A148="","",5)</f>
        <v/>
      </c>
      <c r="F148" s="2" t="n"/>
      <c r="G148" s="4" t="n"/>
      <c r="H148" s="2" t="n"/>
      <c r="I148" s="2" t="n"/>
      <c r="J148" s="2">
        <f>IF(C148="","",IF(LEN(C148)&lt;&gt;13,"Nema 13 cifara (ima "&amp;LEN(C148)&amp;")",IF(L148="","JMBG sadrži nešto što nije cifra",IF(N148="","Nepostojeći datum rođenja",IF(VALUE(MID(C148,13,1))&lt;&gt;L148,"Pogrešna kontrolna cifra - treba "&amp;L148,"✓ ispravan")))))</f>
        <v/>
      </c>
      <c r="K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L148">
        <f>IF(K148="","",IF(11-MOD(K148,11)&gt;9,0,11-MOD(K148,11)))</f>
        <v/>
      </c>
      <c r="M148">
        <f>IFERROR(IF(LEN(C148)&lt;&gt;13,"",IF(VALUE(MID(C148,5,3))&gt;=800,1000,2000)+VALUE(MID(C148,5,3))),"")</f>
        <v/>
      </c>
      <c r="N148">
        <f>IFERROR(IF(M148="","",IF(AND(DAY(DATE(M148,VALUE(MID(C148,3,2)),VALUE(MID(C148,1,2))))=VALUE(MID(C148,1,2)),MONTH(DATE(M148,VALUE(MID(C148,3,2)),VALUE(MID(C148,1,2))))=VALUE(MID(C148,3,2))),DATE(M148,VALUE(MID(C148,3,2)),VALUE(MID(C148,1,2))),"")),"")</f>
        <v/>
      </c>
    </row>
    <row r="149">
      <c r="A149" s="2" t="n"/>
      <c r="B149" s="2" t="n"/>
      <c r="C149" s="3" t="n"/>
      <c r="D149" s="2" t="n"/>
      <c r="E149" s="4">
        <f>IF(A149="","",5)</f>
        <v/>
      </c>
      <c r="F149" s="2" t="n"/>
      <c r="G149" s="4" t="n"/>
      <c r="H149" s="2" t="n"/>
      <c r="I149" s="2" t="n"/>
      <c r="J149" s="2">
        <f>IF(C149="","",IF(LEN(C149)&lt;&gt;13,"Nema 13 cifara (ima "&amp;LEN(C149)&amp;")",IF(L149="","JMBG sadrži nešto što nije cifra",IF(N149="","Nepostojeći datum rođenja",IF(VALUE(MID(C149,13,1))&lt;&gt;L149,"Pogrešna kontrolna cifra - treba "&amp;L149,"✓ ispravan")))))</f>
        <v/>
      </c>
      <c r="K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L149">
        <f>IF(K149="","",IF(11-MOD(K149,11)&gt;9,0,11-MOD(K149,11)))</f>
        <v/>
      </c>
      <c r="M149">
        <f>IFERROR(IF(LEN(C149)&lt;&gt;13,"",IF(VALUE(MID(C149,5,3))&gt;=800,1000,2000)+VALUE(MID(C149,5,3))),"")</f>
        <v/>
      </c>
      <c r="N149">
        <f>IFERROR(IF(M149="","",IF(AND(DAY(DATE(M149,VALUE(MID(C149,3,2)),VALUE(MID(C149,1,2))))=VALUE(MID(C149,1,2)),MONTH(DATE(M149,VALUE(MID(C149,3,2)),VALUE(MID(C149,1,2))))=VALUE(MID(C149,3,2))),DATE(M149,VALUE(MID(C149,3,2)),VALUE(MID(C149,1,2))),"")),"")</f>
        <v/>
      </c>
    </row>
    <row r="150">
      <c r="A150" s="2" t="n"/>
      <c r="B150" s="2" t="n"/>
      <c r="C150" s="3" t="n"/>
      <c r="D150" s="2" t="n"/>
      <c r="E150" s="4">
        <f>IF(A150="","",5)</f>
        <v/>
      </c>
      <c r="F150" s="2" t="n"/>
      <c r="G150" s="4" t="n"/>
      <c r="H150" s="2" t="n"/>
      <c r="I150" s="2" t="n"/>
      <c r="J150" s="2">
        <f>IF(C150="","",IF(LEN(C150)&lt;&gt;13,"Nema 13 cifara (ima "&amp;LEN(C150)&amp;")",IF(L150="","JMBG sadrži nešto što nije cifra",IF(N150="","Nepostojeći datum rođenja",IF(VALUE(MID(C150,13,1))&lt;&gt;L150,"Pogrešna kontrolna cifra - treba "&amp;L150,"✓ ispravan")))))</f>
        <v/>
      </c>
      <c r="K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L150">
        <f>IF(K150="","",IF(11-MOD(K150,11)&gt;9,0,11-MOD(K150,11)))</f>
        <v/>
      </c>
      <c r="M150">
        <f>IFERROR(IF(LEN(C150)&lt;&gt;13,"",IF(VALUE(MID(C150,5,3))&gt;=800,1000,2000)+VALUE(MID(C150,5,3))),"")</f>
        <v/>
      </c>
      <c r="N150">
        <f>IFERROR(IF(M150="","",IF(AND(DAY(DATE(M150,VALUE(MID(C150,3,2)),VALUE(MID(C150,1,2))))=VALUE(MID(C150,1,2)),MONTH(DATE(M150,VALUE(MID(C150,3,2)),VALUE(MID(C150,1,2))))=VALUE(MID(C150,3,2))),DATE(M150,VALUE(MID(C150,3,2)),VALUE(MID(C150,1,2))),"")),"")</f>
        <v/>
      </c>
    </row>
    <row r="151">
      <c r="A151" s="2" t="n"/>
      <c r="B151" s="2" t="n"/>
      <c r="C151" s="3" t="n"/>
      <c r="D151" s="2" t="n"/>
      <c r="E151" s="4">
        <f>IF(A151="","",5)</f>
        <v/>
      </c>
      <c r="F151" s="2" t="n"/>
      <c r="G151" s="4" t="n"/>
      <c r="H151" s="2" t="n"/>
      <c r="I151" s="2" t="n"/>
      <c r="J151" s="2">
        <f>IF(C151="","",IF(LEN(C151)&lt;&gt;13,"Nema 13 cifara (ima "&amp;LEN(C151)&amp;")",IF(L151="","JMBG sadrži nešto što nije cifra",IF(N151="","Nepostojeći datum rođenja",IF(VALUE(MID(C151,13,1))&lt;&gt;L151,"Pogrešna kontrolna cifra - treba "&amp;L151,"✓ ispravan")))))</f>
        <v/>
      </c>
      <c r="K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L151">
        <f>IF(K151="","",IF(11-MOD(K151,11)&gt;9,0,11-MOD(K151,11)))</f>
        <v/>
      </c>
      <c r="M151">
        <f>IFERROR(IF(LEN(C151)&lt;&gt;13,"",IF(VALUE(MID(C151,5,3))&gt;=800,1000,2000)+VALUE(MID(C151,5,3))),"")</f>
        <v/>
      </c>
      <c r="N151">
        <f>IFERROR(IF(M151="","",IF(AND(DAY(DATE(M151,VALUE(MID(C151,3,2)),VALUE(MID(C151,1,2))))=VALUE(MID(C151,1,2)),MONTH(DATE(M151,VALUE(MID(C151,3,2)),VALUE(MID(C151,1,2))))=VALUE(MID(C151,3,2))),DATE(M151,VALUE(MID(C151,3,2)),VALUE(MID(C151,1,2))),"")),"")</f>
        <v/>
      </c>
    </row>
    <row r="152">
      <c r="A152" s="2" t="n"/>
      <c r="B152" s="2" t="n"/>
      <c r="C152" s="3" t="n"/>
      <c r="D152" s="2" t="n"/>
      <c r="E152" s="4">
        <f>IF(A152="","",5)</f>
        <v/>
      </c>
      <c r="F152" s="2" t="n"/>
      <c r="G152" s="4" t="n"/>
      <c r="H152" s="2" t="n"/>
      <c r="I152" s="2" t="n"/>
      <c r="J152" s="2">
        <f>IF(C152="","",IF(LEN(C152)&lt;&gt;13,"Nema 13 cifara (ima "&amp;LEN(C152)&amp;")",IF(L152="","JMBG sadrži nešto što nije cifra",IF(N152="","Nepostojeći datum rođenja",IF(VALUE(MID(C152,13,1))&lt;&gt;L152,"Pogrešna kontrolna cifra - treba "&amp;L152,"✓ ispravan")))))</f>
        <v/>
      </c>
      <c r="K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L152">
        <f>IF(K152="","",IF(11-MOD(K152,11)&gt;9,0,11-MOD(K152,11)))</f>
        <v/>
      </c>
      <c r="M152">
        <f>IFERROR(IF(LEN(C152)&lt;&gt;13,"",IF(VALUE(MID(C152,5,3))&gt;=800,1000,2000)+VALUE(MID(C152,5,3))),"")</f>
        <v/>
      </c>
      <c r="N152">
        <f>IFERROR(IF(M152="","",IF(AND(DAY(DATE(M152,VALUE(MID(C152,3,2)),VALUE(MID(C152,1,2))))=VALUE(MID(C152,1,2)),MONTH(DATE(M152,VALUE(MID(C152,3,2)),VALUE(MID(C152,1,2))))=VALUE(MID(C152,3,2))),DATE(M152,VALUE(MID(C152,3,2)),VALUE(MID(C152,1,2))),"")),"")</f>
        <v/>
      </c>
    </row>
    <row r="153">
      <c r="A153" s="2" t="n"/>
      <c r="B153" s="2" t="n"/>
      <c r="C153" s="3" t="n"/>
      <c r="D153" s="2" t="n"/>
      <c r="E153" s="4">
        <f>IF(A153="","",5)</f>
        <v/>
      </c>
      <c r="F153" s="2" t="n"/>
      <c r="G153" s="4" t="n"/>
      <c r="H153" s="2" t="n"/>
      <c r="I153" s="2" t="n"/>
      <c r="J153" s="2">
        <f>IF(C153="","",IF(LEN(C153)&lt;&gt;13,"Nema 13 cifara (ima "&amp;LEN(C153)&amp;")",IF(L153="","JMBG sadrži nešto što nije cifra",IF(N153="","Nepostojeći datum rođenja",IF(VALUE(MID(C153,13,1))&lt;&gt;L153,"Pogrešna kontrolna cifra - treba "&amp;L153,"✓ ispravan")))))</f>
        <v/>
      </c>
      <c r="K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L153">
        <f>IF(K153="","",IF(11-MOD(K153,11)&gt;9,0,11-MOD(K153,11)))</f>
        <v/>
      </c>
      <c r="M153">
        <f>IFERROR(IF(LEN(C153)&lt;&gt;13,"",IF(VALUE(MID(C153,5,3))&gt;=800,1000,2000)+VALUE(MID(C153,5,3))),"")</f>
        <v/>
      </c>
      <c r="N153">
        <f>IFERROR(IF(M153="","",IF(AND(DAY(DATE(M153,VALUE(MID(C153,3,2)),VALUE(MID(C153,1,2))))=VALUE(MID(C153,1,2)),MONTH(DATE(M153,VALUE(MID(C153,3,2)),VALUE(MID(C153,1,2))))=VALUE(MID(C153,3,2))),DATE(M153,VALUE(MID(C153,3,2)),VALUE(MID(C153,1,2))),"")),"")</f>
        <v/>
      </c>
    </row>
    <row r="154">
      <c r="A154" s="2" t="n"/>
      <c r="B154" s="2" t="n"/>
      <c r="C154" s="3" t="n"/>
      <c r="D154" s="2" t="n"/>
      <c r="E154" s="4">
        <f>IF(A154="","",5)</f>
        <v/>
      </c>
      <c r="F154" s="2" t="n"/>
      <c r="G154" s="4" t="n"/>
      <c r="H154" s="2" t="n"/>
      <c r="I154" s="2" t="n"/>
      <c r="J154" s="2">
        <f>IF(C154="","",IF(LEN(C154)&lt;&gt;13,"Nema 13 cifara (ima "&amp;LEN(C154)&amp;")",IF(L154="","JMBG sadrži nešto što nije cifra",IF(N154="","Nepostojeći datum rođenja",IF(VALUE(MID(C154,13,1))&lt;&gt;L154,"Pogrešna kontrolna cifra - treba "&amp;L154,"✓ ispravan")))))</f>
        <v/>
      </c>
      <c r="K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L154">
        <f>IF(K154="","",IF(11-MOD(K154,11)&gt;9,0,11-MOD(K154,11)))</f>
        <v/>
      </c>
      <c r="M154">
        <f>IFERROR(IF(LEN(C154)&lt;&gt;13,"",IF(VALUE(MID(C154,5,3))&gt;=800,1000,2000)+VALUE(MID(C154,5,3))),"")</f>
        <v/>
      </c>
      <c r="N154">
        <f>IFERROR(IF(M154="","",IF(AND(DAY(DATE(M154,VALUE(MID(C154,3,2)),VALUE(MID(C154,1,2))))=VALUE(MID(C154,1,2)),MONTH(DATE(M154,VALUE(MID(C154,3,2)),VALUE(MID(C154,1,2))))=VALUE(MID(C154,3,2))),DATE(M154,VALUE(MID(C154,3,2)),VALUE(MID(C154,1,2))),"")),"")</f>
        <v/>
      </c>
    </row>
    <row r="155">
      <c r="A155" s="2" t="n"/>
      <c r="B155" s="2" t="n"/>
      <c r="C155" s="3" t="n"/>
      <c r="D155" s="2" t="n"/>
      <c r="E155" s="4">
        <f>IF(A155="","",5)</f>
        <v/>
      </c>
      <c r="F155" s="2" t="n"/>
      <c r="G155" s="4" t="n"/>
      <c r="H155" s="2" t="n"/>
      <c r="I155" s="2" t="n"/>
      <c r="J155" s="2">
        <f>IF(C155="","",IF(LEN(C155)&lt;&gt;13,"Nema 13 cifara (ima "&amp;LEN(C155)&amp;")",IF(L155="","JMBG sadrži nešto što nije cifra",IF(N155="","Nepostojeći datum rođenja",IF(VALUE(MID(C155,13,1))&lt;&gt;L155,"Pogrešna kontrolna cifra - treba "&amp;L155,"✓ ispravan")))))</f>
        <v/>
      </c>
      <c r="K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L155">
        <f>IF(K155="","",IF(11-MOD(K155,11)&gt;9,0,11-MOD(K155,11)))</f>
        <v/>
      </c>
      <c r="M155">
        <f>IFERROR(IF(LEN(C155)&lt;&gt;13,"",IF(VALUE(MID(C155,5,3))&gt;=800,1000,2000)+VALUE(MID(C155,5,3))),"")</f>
        <v/>
      </c>
      <c r="N155">
        <f>IFERROR(IF(M155="","",IF(AND(DAY(DATE(M155,VALUE(MID(C155,3,2)),VALUE(MID(C155,1,2))))=VALUE(MID(C155,1,2)),MONTH(DATE(M155,VALUE(MID(C155,3,2)),VALUE(MID(C155,1,2))))=VALUE(MID(C155,3,2))),DATE(M155,VALUE(MID(C155,3,2)),VALUE(MID(C155,1,2))),"")),"")</f>
        <v/>
      </c>
    </row>
    <row r="156">
      <c r="A156" s="2" t="n"/>
      <c r="B156" s="2" t="n"/>
      <c r="C156" s="3" t="n"/>
      <c r="D156" s="2" t="n"/>
      <c r="E156" s="4">
        <f>IF(A156="","",5)</f>
        <v/>
      </c>
      <c r="F156" s="2" t="n"/>
      <c r="G156" s="4" t="n"/>
      <c r="H156" s="2" t="n"/>
      <c r="I156" s="2" t="n"/>
      <c r="J156" s="2">
        <f>IF(C156="","",IF(LEN(C156)&lt;&gt;13,"Nema 13 cifara (ima "&amp;LEN(C156)&amp;")",IF(L156="","JMBG sadrži nešto što nije cifra",IF(N156="","Nepostojeći datum rođenja",IF(VALUE(MID(C156,13,1))&lt;&gt;L156,"Pogrešna kontrolna cifra - treba "&amp;L156,"✓ ispravan")))))</f>
        <v/>
      </c>
      <c r="K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L156">
        <f>IF(K156="","",IF(11-MOD(K156,11)&gt;9,0,11-MOD(K156,11)))</f>
        <v/>
      </c>
      <c r="M156">
        <f>IFERROR(IF(LEN(C156)&lt;&gt;13,"",IF(VALUE(MID(C156,5,3))&gt;=800,1000,2000)+VALUE(MID(C156,5,3))),"")</f>
        <v/>
      </c>
      <c r="N156">
        <f>IFERROR(IF(M156="","",IF(AND(DAY(DATE(M156,VALUE(MID(C156,3,2)),VALUE(MID(C156,1,2))))=VALUE(MID(C156,1,2)),MONTH(DATE(M156,VALUE(MID(C156,3,2)),VALUE(MID(C156,1,2))))=VALUE(MID(C156,3,2))),DATE(M156,VALUE(MID(C156,3,2)),VALUE(MID(C156,1,2))),"")),"")</f>
        <v/>
      </c>
    </row>
    <row r="157">
      <c r="A157" s="2" t="n"/>
      <c r="B157" s="2" t="n"/>
      <c r="C157" s="3" t="n"/>
      <c r="D157" s="2" t="n"/>
      <c r="E157" s="4">
        <f>IF(A157="","",5)</f>
        <v/>
      </c>
      <c r="F157" s="2" t="n"/>
      <c r="G157" s="4" t="n"/>
      <c r="H157" s="2" t="n"/>
      <c r="I157" s="2" t="n"/>
      <c r="J157" s="2">
        <f>IF(C157="","",IF(LEN(C157)&lt;&gt;13,"Nema 13 cifara (ima "&amp;LEN(C157)&amp;")",IF(L157="","JMBG sadrži nešto što nije cifra",IF(N157="","Nepostojeći datum rođenja",IF(VALUE(MID(C157,13,1))&lt;&gt;L157,"Pogrešna kontrolna cifra - treba "&amp;L157,"✓ ispravan")))))</f>
        <v/>
      </c>
      <c r="K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L157">
        <f>IF(K157="","",IF(11-MOD(K157,11)&gt;9,0,11-MOD(K157,11)))</f>
        <v/>
      </c>
      <c r="M157">
        <f>IFERROR(IF(LEN(C157)&lt;&gt;13,"",IF(VALUE(MID(C157,5,3))&gt;=800,1000,2000)+VALUE(MID(C157,5,3))),"")</f>
        <v/>
      </c>
      <c r="N157">
        <f>IFERROR(IF(M157="","",IF(AND(DAY(DATE(M157,VALUE(MID(C157,3,2)),VALUE(MID(C157,1,2))))=VALUE(MID(C157,1,2)),MONTH(DATE(M157,VALUE(MID(C157,3,2)),VALUE(MID(C157,1,2))))=VALUE(MID(C157,3,2))),DATE(M157,VALUE(MID(C157,3,2)),VALUE(MID(C157,1,2))),"")),"")</f>
        <v/>
      </c>
    </row>
    <row r="158">
      <c r="A158" s="2" t="n"/>
      <c r="B158" s="2" t="n"/>
      <c r="C158" s="3" t="n"/>
      <c r="D158" s="2" t="n"/>
      <c r="E158" s="4">
        <f>IF(A158="","",5)</f>
        <v/>
      </c>
      <c r="F158" s="2" t="n"/>
      <c r="G158" s="4" t="n"/>
      <c r="H158" s="2" t="n"/>
      <c r="I158" s="2" t="n"/>
      <c r="J158" s="2">
        <f>IF(C158="","",IF(LEN(C158)&lt;&gt;13,"Nema 13 cifara (ima "&amp;LEN(C158)&amp;")",IF(L158="","JMBG sadrži nešto što nije cifra",IF(N158="","Nepostojeći datum rođenja",IF(VALUE(MID(C158,13,1))&lt;&gt;L158,"Pogrešna kontrolna cifra - treba "&amp;L158,"✓ ispravan")))))</f>
        <v/>
      </c>
      <c r="K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L158">
        <f>IF(K158="","",IF(11-MOD(K158,11)&gt;9,0,11-MOD(K158,11)))</f>
        <v/>
      </c>
      <c r="M158">
        <f>IFERROR(IF(LEN(C158)&lt;&gt;13,"",IF(VALUE(MID(C158,5,3))&gt;=800,1000,2000)+VALUE(MID(C158,5,3))),"")</f>
        <v/>
      </c>
      <c r="N158">
        <f>IFERROR(IF(M158="","",IF(AND(DAY(DATE(M158,VALUE(MID(C158,3,2)),VALUE(MID(C158,1,2))))=VALUE(MID(C158,1,2)),MONTH(DATE(M158,VALUE(MID(C158,3,2)),VALUE(MID(C158,1,2))))=VALUE(MID(C158,3,2))),DATE(M158,VALUE(MID(C158,3,2)),VALUE(MID(C158,1,2))),"")),"")</f>
        <v/>
      </c>
    </row>
    <row r="159">
      <c r="A159" s="2" t="n"/>
      <c r="B159" s="2" t="n"/>
      <c r="C159" s="3" t="n"/>
      <c r="D159" s="2" t="n"/>
      <c r="E159" s="4">
        <f>IF(A159="","",5)</f>
        <v/>
      </c>
      <c r="F159" s="2" t="n"/>
      <c r="G159" s="4" t="n"/>
      <c r="H159" s="2" t="n"/>
      <c r="I159" s="2" t="n"/>
      <c r="J159" s="2">
        <f>IF(C159="","",IF(LEN(C159)&lt;&gt;13,"Nema 13 cifara (ima "&amp;LEN(C159)&amp;")",IF(L159="","JMBG sadrži nešto što nije cifra",IF(N159="","Nepostojeći datum rođenja",IF(VALUE(MID(C159,13,1))&lt;&gt;L159,"Pogrešna kontrolna cifra - treba "&amp;L159,"✓ ispravan")))))</f>
        <v/>
      </c>
      <c r="K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L159">
        <f>IF(K159="","",IF(11-MOD(K159,11)&gt;9,0,11-MOD(K159,11)))</f>
        <v/>
      </c>
      <c r="M159">
        <f>IFERROR(IF(LEN(C159)&lt;&gt;13,"",IF(VALUE(MID(C159,5,3))&gt;=800,1000,2000)+VALUE(MID(C159,5,3))),"")</f>
        <v/>
      </c>
      <c r="N159">
        <f>IFERROR(IF(M159="","",IF(AND(DAY(DATE(M159,VALUE(MID(C159,3,2)),VALUE(MID(C159,1,2))))=VALUE(MID(C159,1,2)),MONTH(DATE(M159,VALUE(MID(C159,3,2)),VALUE(MID(C159,1,2))))=VALUE(MID(C159,3,2))),DATE(M159,VALUE(MID(C159,3,2)),VALUE(MID(C159,1,2))),"")),"")</f>
        <v/>
      </c>
    </row>
    <row r="160">
      <c r="A160" s="2" t="n"/>
      <c r="B160" s="2" t="n"/>
      <c r="C160" s="3" t="n"/>
      <c r="D160" s="2" t="n"/>
      <c r="E160" s="4">
        <f>IF(A160="","",5)</f>
        <v/>
      </c>
      <c r="F160" s="2" t="n"/>
      <c r="G160" s="4" t="n"/>
      <c r="H160" s="2" t="n"/>
      <c r="I160" s="2" t="n"/>
      <c r="J160" s="2">
        <f>IF(C160="","",IF(LEN(C160)&lt;&gt;13,"Nema 13 cifara (ima "&amp;LEN(C160)&amp;")",IF(L160="","JMBG sadrži nešto što nije cifra",IF(N160="","Nepostojeći datum rođenja",IF(VALUE(MID(C160,13,1))&lt;&gt;L160,"Pogrešna kontrolna cifra - treba "&amp;L160,"✓ ispravan")))))</f>
        <v/>
      </c>
      <c r="K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L160">
        <f>IF(K160="","",IF(11-MOD(K160,11)&gt;9,0,11-MOD(K160,11)))</f>
        <v/>
      </c>
      <c r="M160">
        <f>IFERROR(IF(LEN(C160)&lt;&gt;13,"",IF(VALUE(MID(C160,5,3))&gt;=800,1000,2000)+VALUE(MID(C160,5,3))),"")</f>
        <v/>
      </c>
      <c r="N160">
        <f>IFERROR(IF(M160="","",IF(AND(DAY(DATE(M160,VALUE(MID(C160,3,2)),VALUE(MID(C160,1,2))))=VALUE(MID(C160,1,2)),MONTH(DATE(M160,VALUE(MID(C160,3,2)),VALUE(MID(C160,1,2))))=VALUE(MID(C160,3,2))),DATE(M160,VALUE(MID(C160,3,2)),VALUE(MID(C160,1,2))),"")),"")</f>
        <v/>
      </c>
    </row>
    <row r="161">
      <c r="A161" s="2" t="n"/>
      <c r="B161" s="2" t="n"/>
      <c r="C161" s="3" t="n"/>
      <c r="D161" s="2" t="n"/>
      <c r="E161" s="4">
        <f>IF(A161="","",5)</f>
        <v/>
      </c>
      <c r="F161" s="2" t="n"/>
      <c r="G161" s="4" t="n"/>
      <c r="H161" s="2" t="n"/>
      <c r="I161" s="2" t="n"/>
      <c r="J161" s="2">
        <f>IF(C161="","",IF(LEN(C161)&lt;&gt;13,"Nema 13 cifara (ima "&amp;LEN(C161)&amp;")",IF(L161="","JMBG sadrži nešto što nije cifra",IF(N161="","Nepostojeći datum rođenja",IF(VALUE(MID(C161,13,1))&lt;&gt;L161,"Pogrešna kontrolna cifra - treba "&amp;L161,"✓ ispravan")))))</f>
        <v/>
      </c>
      <c r="K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L161">
        <f>IF(K161="","",IF(11-MOD(K161,11)&gt;9,0,11-MOD(K161,11)))</f>
        <v/>
      </c>
      <c r="M161">
        <f>IFERROR(IF(LEN(C161)&lt;&gt;13,"",IF(VALUE(MID(C161,5,3))&gt;=800,1000,2000)+VALUE(MID(C161,5,3))),"")</f>
        <v/>
      </c>
      <c r="N161">
        <f>IFERROR(IF(M161="","",IF(AND(DAY(DATE(M161,VALUE(MID(C161,3,2)),VALUE(MID(C161,1,2))))=VALUE(MID(C161,1,2)),MONTH(DATE(M161,VALUE(MID(C161,3,2)),VALUE(MID(C161,1,2))))=VALUE(MID(C161,3,2))),DATE(M161,VALUE(MID(C161,3,2)),VALUE(MID(C161,1,2))),"")),"")</f>
        <v/>
      </c>
    </row>
    <row r="162">
      <c r="A162" s="2" t="n"/>
      <c r="B162" s="2" t="n"/>
      <c r="C162" s="3" t="n"/>
      <c r="D162" s="2" t="n"/>
      <c r="E162" s="4">
        <f>IF(A162="","",5)</f>
        <v/>
      </c>
      <c r="F162" s="2" t="n"/>
      <c r="G162" s="4" t="n"/>
      <c r="H162" s="2" t="n"/>
      <c r="I162" s="2" t="n"/>
      <c r="J162" s="2">
        <f>IF(C162="","",IF(LEN(C162)&lt;&gt;13,"Nema 13 cifara (ima "&amp;LEN(C162)&amp;")",IF(L162="","JMBG sadrži nešto što nije cifra",IF(N162="","Nepostojeći datum rođenja",IF(VALUE(MID(C162,13,1))&lt;&gt;L162,"Pogrešna kontrolna cifra - treba "&amp;L162,"✓ ispravan")))))</f>
        <v/>
      </c>
      <c r="K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L162">
        <f>IF(K162="","",IF(11-MOD(K162,11)&gt;9,0,11-MOD(K162,11)))</f>
        <v/>
      </c>
      <c r="M162">
        <f>IFERROR(IF(LEN(C162)&lt;&gt;13,"",IF(VALUE(MID(C162,5,3))&gt;=800,1000,2000)+VALUE(MID(C162,5,3))),"")</f>
        <v/>
      </c>
      <c r="N162">
        <f>IFERROR(IF(M162="","",IF(AND(DAY(DATE(M162,VALUE(MID(C162,3,2)),VALUE(MID(C162,1,2))))=VALUE(MID(C162,1,2)),MONTH(DATE(M162,VALUE(MID(C162,3,2)),VALUE(MID(C162,1,2))))=VALUE(MID(C162,3,2))),DATE(M162,VALUE(MID(C162,3,2)),VALUE(MID(C162,1,2))),"")),"")</f>
        <v/>
      </c>
    </row>
    <row r="163">
      <c r="A163" s="2" t="n"/>
      <c r="B163" s="2" t="n"/>
      <c r="C163" s="3" t="n"/>
      <c r="D163" s="2" t="n"/>
      <c r="E163" s="4">
        <f>IF(A163="","",5)</f>
        <v/>
      </c>
      <c r="F163" s="2" t="n"/>
      <c r="G163" s="4" t="n"/>
      <c r="H163" s="2" t="n"/>
      <c r="I163" s="2" t="n"/>
      <c r="J163" s="2">
        <f>IF(C163="","",IF(LEN(C163)&lt;&gt;13,"Nema 13 cifara (ima "&amp;LEN(C163)&amp;")",IF(L163="","JMBG sadrži nešto što nije cifra",IF(N163="","Nepostojeći datum rođenja",IF(VALUE(MID(C163,13,1))&lt;&gt;L163,"Pogrešna kontrolna cifra - treba "&amp;L163,"✓ ispravan")))))</f>
        <v/>
      </c>
      <c r="K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L163">
        <f>IF(K163="","",IF(11-MOD(K163,11)&gt;9,0,11-MOD(K163,11)))</f>
        <v/>
      </c>
      <c r="M163">
        <f>IFERROR(IF(LEN(C163)&lt;&gt;13,"",IF(VALUE(MID(C163,5,3))&gt;=800,1000,2000)+VALUE(MID(C163,5,3))),"")</f>
        <v/>
      </c>
      <c r="N163">
        <f>IFERROR(IF(M163="","",IF(AND(DAY(DATE(M163,VALUE(MID(C163,3,2)),VALUE(MID(C163,1,2))))=VALUE(MID(C163,1,2)),MONTH(DATE(M163,VALUE(MID(C163,3,2)),VALUE(MID(C163,1,2))))=VALUE(MID(C163,3,2))),DATE(M163,VALUE(MID(C163,3,2)),VALUE(MID(C163,1,2))),"")),"")</f>
        <v/>
      </c>
    </row>
    <row r="164">
      <c r="A164" s="2" t="n"/>
      <c r="B164" s="2" t="n"/>
      <c r="C164" s="3" t="n"/>
      <c r="D164" s="2" t="n"/>
      <c r="E164" s="4">
        <f>IF(A164="","",5)</f>
        <v/>
      </c>
      <c r="F164" s="2" t="n"/>
      <c r="G164" s="4" t="n"/>
      <c r="H164" s="2" t="n"/>
      <c r="I164" s="2" t="n"/>
      <c r="J164" s="2">
        <f>IF(C164="","",IF(LEN(C164)&lt;&gt;13,"Nema 13 cifara (ima "&amp;LEN(C164)&amp;")",IF(L164="","JMBG sadrži nešto što nije cifra",IF(N164="","Nepostojeći datum rođenja",IF(VALUE(MID(C164,13,1))&lt;&gt;L164,"Pogrešna kontrolna cifra - treba "&amp;L164,"✓ ispravan")))))</f>
        <v/>
      </c>
      <c r="K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L164">
        <f>IF(K164="","",IF(11-MOD(K164,11)&gt;9,0,11-MOD(K164,11)))</f>
        <v/>
      </c>
      <c r="M164">
        <f>IFERROR(IF(LEN(C164)&lt;&gt;13,"",IF(VALUE(MID(C164,5,3))&gt;=800,1000,2000)+VALUE(MID(C164,5,3))),"")</f>
        <v/>
      </c>
      <c r="N164">
        <f>IFERROR(IF(M164="","",IF(AND(DAY(DATE(M164,VALUE(MID(C164,3,2)),VALUE(MID(C164,1,2))))=VALUE(MID(C164,1,2)),MONTH(DATE(M164,VALUE(MID(C164,3,2)),VALUE(MID(C164,1,2))))=VALUE(MID(C164,3,2))),DATE(M164,VALUE(MID(C164,3,2)),VALUE(MID(C164,1,2))),"")),"")</f>
        <v/>
      </c>
    </row>
    <row r="165">
      <c r="A165" s="2" t="n"/>
      <c r="B165" s="2" t="n"/>
      <c r="C165" s="3" t="n"/>
      <c r="D165" s="2" t="n"/>
      <c r="E165" s="4">
        <f>IF(A165="","",5)</f>
        <v/>
      </c>
      <c r="F165" s="2" t="n"/>
      <c r="G165" s="4" t="n"/>
      <c r="H165" s="2" t="n"/>
      <c r="I165" s="2" t="n"/>
      <c r="J165" s="2">
        <f>IF(C165="","",IF(LEN(C165)&lt;&gt;13,"Nema 13 cifara (ima "&amp;LEN(C165)&amp;")",IF(L165="","JMBG sadrži nešto što nije cifra",IF(N165="","Nepostojeći datum rođenja",IF(VALUE(MID(C165,13,1))&lt;&gt;L165,"Pogrešna kontrolna cifra - treba "&amp;L165,"✓ ispravan")))))</f>
        <v/>
      </c>
      <c r="K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L165">
        <f>IF(K165="","",IF(11-MOD(K165,11)&gt;9,0,11-MOD(K165,11)))</f>
        <v/>
      </c>
      <c r="M165">
        <f>IFERROR(IF(LEN(C165)&lt;&gt;13,"",IF(VALUE(MID(C165,5,3))&gt;=800,1000,2000)+VALUE(MID(C165,5,3))),"")</f>
        <v/>
      </c>
      <c r="N165">
        <f>IFERROR(IF(M165="","",IF(AND(DAY(DATE(M165,VALUE(MID(C165,3,2)),VALUE(MID(C165,1,2))))=VALUE(MID(C165,1,2)),MONTH(DATE(M165,VALUE(MID(C165,3,2)),VALUE(MID(C165,1,2))))=VALUE(MID(C165,3,2))),DATE(M165,VALUE(MID(C165,3,2)),VALUE(MID(C165,1,2))),"")),"")</f>
        <v/>
      </c>
    </row>
    <row r="166">
      <c r="A166" s="2" t="n"/>
      <c r="B166" s="2" t="n"/>
      <c r="C166" s="3" t="n"/>
      <c r="D166" s="2" t="n"/>
      <c r="E166" s="4">
        <f>IF(A166="","",5)</f>
        <v/>
      </c>
      <c r="F166" s="2" t="n"/>
      <c r="G166" s="4" t="n"/>
      <c r="H166" s="2" t="n"/>
      <c r="I166" s="2" t="n"/>
      <c r="J166" s="2">
        <f>IF(C166="","",IF(LEN(C166)&lt;&gt;13,"Nema 13 cifara (ima "&amp;LEN(C166)&amp;")",IF(L166="","JMBG sadrži nešto što nije cifra",IF(N166="","Nepostojeći datum rođenja",IF(VALUE(MID(C166,13,1))&lt;&gt;L166,"Pogrešna kontrolna cifra - treba "&amp;L166,"✓ ispravan")))))</f>
        <v/>
      </c>
      <c r="K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L166">
        <f>IF(K166="","",IF(11-MOD(K166,11)&gt;9,0,11-MOD(K166,11)))</f>
        <v/>
      </c>
      <c r="M166">
        <f>IFERROR(IF(LEN(C166)&lt;&gt;13,"",IF(VALUE(MID(C166,5,3))&gt;=800,1000,2000)+VALUE(MID(C166,5,3))),"")</f>
        <v/>
      </c>
      <c r="N166">
        <f>IFERROR(IF(M166="","",IF(AND(DAY(DATE(M166,VALUE(MID(C166,3,2)),VALUE(MID(C166,1,2))))=VALUE(MID(C166,1,2)),MONTH(DATE(M166,VALUE(MID(C166,3,2)),VALUE(MID(C166,1,2))))=VALUE(MID(C166,3,2))),DATE(M166,VALUE(MID(C166,3,2)),VALUE(MID(C166,1,2))),"")),"")</f>
        <v/>
      </c>
    </row>
    <row r="167">
      <c r="A167" s="2" t="n"/>
      <c r="B167" s="2" t="n"/>
      <c r="C167" s="3" t="n"/>
      <c r="D167" s="2" t="n"/>
      <c r="E167" s="4">
        <f>IF(A167="","",5)</f>
        <v/>
      </c>
      <c r="F167" s="2" t="n"/>
      <c r="G167" s="4" t="n"/>
      <c r="H167" s="2" t="n"/>
      <c r="I167" s="2" t="n"/>
      <c r="J167" s="2">
        <f>IF(C167="","",IF(LEN(C167)&lt;&gt;13,"Nema 13 cifara (ima "&amp;LEN(C167)&amp;")",IF(L167="","JMBG sadrži nešto što nije cifra",IF(N167="","Nepostojeći datum rođenja",IF(VALUE(MID(C167,13,1))&lt;&gt;L167,"Pogrešna kontrolna cifra - treba "&amp;L167,"✓ ispravan")))))</f>
        <v/>
      </c>
      <c r="K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L167">
        <f>IF(K167="","",IF(11-MOD(K167,11)&gt;9,0,11-MOD(K167,11)))</f>
        <v/>
      </c>
      <c r="M167">
        <f>IFERROR(IF(LEN(C167)&lt;&gt;13,"",IF(VALUE(MID(C167,5,3))&gt;=800,1000,2000)+VALUE(MID(C167,5,3))),"")</f>
        <v/>
      </c>
      <c r="N167">
        <f>IFERROR(IF(M167="","",IF(AND(DAY(DATE(M167,VALUE(MID(C167,3,2)),VALUE(MID(C167,1,2))))=VALUE(MID(C167,1,2)),MONTH(DATE(M167,VALUE(MID(C167,3,2)),VALUE(MID(C167,1,2))))=VALUE(MID(C167,3,2))),DATE(M167,VALUE(MID(C167,3,2)),VALUE(MID(C167,1,2))),"")),"")</f>
        <v/>
      </c>
    </row>
    <row r="168">
      <c r="A168" s="2" t="n"/>
      <c r="B168" s="2" t="n"/>
      <c r="C168" s="3" t="n"/>
      <c r="D168" s="2" t="n"/>
      <c r="E168" s="4">
        <f>IF(A168="","",5)</f>
        <v/>
      </c>
      <c r="F168" s="2" t="n"/>
      <c r="G168" s="4" t="n"/>
      <c r="H168" s="2" t="n"/>
      <c r="I168" s="2" t="n"/>
      <c r="J168" s="2">
        <f>IF(C168="","",IF(LEN(C168)&lt;&gt;13,"Nema 13 cifara (ima "&amp;LEN(C168)&amp;")",IF(L168="","JMBG sadrži nešto što nije cifra",IF(N168="","Nepostojeći datum rođenja",IF(VALUE(MID(C168,13,1))&lt;&gt;L168,"Pogrešna kontrolna cifra - treba "&amp;L168,"✓ ispravan")))))</f>
        <v/>
      </c>
      <c r="K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L168">
        <f>IF(K168="","",IF(11-MOD(K168,11)&gt;9,0,11-MOD(K168,11)))</f>
        <v/>
      </c>
      <c r="M168">
        <f>IFERROR(IF(LEN(C168)&lt;&gt;13,"",IF(VALUE(MID(C168,5,3))&gt;=800,1000,2000)+VALUE(MID(C168,5,3))),"")</f>
        <v/>
      </c>
      <c r="N168">
        <f>IFERROR(IF(M168="","",IF(AND(DAY(DATE(M168,VALUE(MID(C168,3,2)),VALUE(MID(C168,1,2))))=VALUE(MID(C168,1,2)),MONTH(DATE(M168,VALUE(MID(C168,3,2)),VALUE(MID(C168,1,2))))=VALUE(MID(C168,3,2))),DATE(M168,VALUE(MID(C168,3,2)),VALUE(MID(C168,1,2))),"")),"")</f>
        <v/>
      </c>
    </row>
    <row r="169">
      <c r="A169" s="2" t="n"/>
      <c r="B169" s="2" t="n"/>
      <c r="C169" s="3" t="n"/>
      <c r="D169" s="2" t="n"/>
      <c r="E169" s="4">
        <f>IF(A169="","",5)</f>
        <v/>
      </c>
      <c r="F169" s="2" t="n"/>
      <c r="G169" s="4" t="n"/>
      <c r="H169" s="2" t="n"/>
      <c r="I169" s="2" t="n"/>
      <c r="J169" s="2">
        <f>IF(C169="","",IF(LEN(C169)&lt;&gt;13,"Nema 13 cifara (ima "&amp;LEN(C169)&amp;")",IF(L169="","JMBG sadrži nešto što nije cifra",IF(N169="","Nepostojeći datum rođenja",IF(VALUE(MID(C169,13,1))&lt;&gt;L169,"Pogrešna kontrolna cifra - treba "&amp;L169,"✓ ispravan")))))</f>
        <v/>
      </c>
      <c r="K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L169">
        <f>IF(K169="","",IF(11-MOD(K169,11)&gt;9,0,11-MOD(K169,11)))</f>
        <v/>
      </c>
      <c r="M169">
        <f>IFERROR(IF(LEN(C169)&lt;&gt;13,"",IF(VALUE(MID(C169,5,3))&gt;=800,1000,2000)+VALUE(MID(C169,5,3))),"")</f>
        <v/>
      </c>
      <c r="N169">
        <f>IFERROR(IF(M169="","",IF(AND(DAY(DATE(M169,VALUE(MID(C169,3,2)),VALUE(MID(C169,1,2))))=VALUE(MID(C169,1,2)),MONTH(DATE(M169,VALUE(MID(C169,3,2)),VALUE(MID(C169,1,2))))=VALUE(MID(C169,3,2))),DATE(M169,VALUE(MID(C169,3,2)),VALUE(MID(C169,1,2))),"")),"")</f>
        <v/>
      </c>
    </row>
    <row r="170">
      <c r="A170" s="2" t="n"/>
      <c r="B170" s="2" t="n"/>
      <c r="C170" s="3" t="n"/>
      <c r="D170" s="2" t="n"/>
      <c r="E170" s="4">
        <f>IF(A170="","",5)</f>
        <v/>
      </c>
      <c r="F170" s="2" t="n"/>
      <c r="G170" s="4" t="n"/>
      <c r="H170" s="2" t="n"/>
      <c r="I170" s="2" t="n"/>
      <c r="J170" s="2">
        <f>IF(C170="","",IF(LEN(C170)&lt;&gt;13,"Nema 13 cifara (ima "&amp;LEN(C170)&amp;")",IF(L170="","JMBG sadrži nešto što nije cifra",IF(N170="","Nepostojeći datum rođenja",IF(VALUE(MID(C170,13,1))&lt;&gt;L170,"Pogrešna kontrolna cifra - treba "&amp;L170,"✓ ispravan")))))</f>
        <v/>
      </c>
      <c r="K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L170">
        <f>IF(K170="","",IF(11-MOD(K170,11)&gt;9,0,11-MOD(K170,11)))</f>
        <v/>
      </c>
      <c r="M170">
        <f>IFERROR(IF(LEN(C170)&lt;&gt;13,"",IF(VALUE(MID(C170,5,3))&gt;=800,1000,2000)+VALUE(MID(C170,5,3))),"")</f>
        <v/>
      </c>
      <c r="N170">
        <f>IFERROR(IF(M170="","",IF(AND(DAY(DATE(M170,VALUE(MID(C170,3,2)),VALUE(MID(C170,1,2))))=VALUE(MID(C170,1,2)),MONTH(DATE(M170,VALUE(MID(C170,3,2)),VALUE(MID(C170,1,2))))=VALUE(MID(C170,3,2))),DATE(M170,VALUE(MID(C170,3,2)),VALUE(MID(C170,1,2))),"")),"")</f>
        <v/>
      </c>
    </row>
    <row r="171">
      <c r="A171" s="2" t="n"/>
      <c r="B171" s="2" t="n"/>
      <c r="C171" s="3" t="n"/>
      <c r="D171" s="2" t="n"/>
      <c r="E171" s="4">
        <f>IF(A171="","",5)</f>
        <v/>
      </c>
      <c r="F171" s="2" t="n"/>
      <c r="G171" s="4" t="n"/>
      <c r="H171" s="2" t="n"/>
      <c r="I171" s="2" t="n"/>
      <c r="J171" s="2">
        <f>IF(C171="","",IF(LEN(C171)&lt;&gt;13,"Nema 13 cifara (ima "&amp;LEN(C171)&amp;")",IF(L171="","JMBG sadrži nešto što nije cifra",IF(N171="","Nepostojeći datum rođenja",IF(VALUE(MID(C171,13,1))&lt;&gt;L171,"Pogrešna kontrolna cifra - treba "&amp;L171,"✓ ispravan")))))</f>
        <v/>
      </c>
      <c r="K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L171">
        <f>IF(K171="","",IF(11-MOD(K171,11)&gt;9,0,11-MOD(K171,11)))</f>
        <v/>
      </c>
      <c r="M171">
        <f>IFERROR(IF(LEN(C171)&lt;&gt;13,"",IF(VALUE(MID(C171,5,3))&gt;=800,1000,2000)+VALUE(MID(C171,5,3))),"")</f>
        <v/>
      </c>
      <c r="N171">
        <f>IFERROR(IF(M171="","",IF(AND(DAY(DATE(M171,VALUE(MID(C171,3,2)),VALUE(MID(C171,1,2))))=VALUE(MID(C171,1,2)),MONTH(DATE(M171,VALUE(MID(C171,3,2)),VALUE(MID(C171,1,2))))=VALUE(MID(C171,3,2))),DATE(M171,VALUE(MID(C171,3,2)),VALUE(MID(C171,1,2))),"")),"")</f>
        <v/>
      </c>
    </row>
    <row r="172">
      <c r="A172" s="2" t="n"/>
      <c r="B172" s="2" t="n"/>
      <c r="C172" s="3" t="n"/>
      <c r="D172" s="2" t="n"/>
      <c r="E172" s="4">
        <f>IF(A172="","",5)</f>
        <v/>
      </c>
      <c r="F172" s="2" t="n"/>
      <c r="G172" s="4" t="n"/>
      <c r="H172" s="2" t="n"/>
      <c r="I172" s="2" t="n"/>
      <c r="J172" s="2">
        <f>IF(C172="","",IF(LEN(C172)&lt;&gt;13,"Nema 13 cifara (ima "&amp;LEN(C172)&amp;")",IF(L172="","JMBG sadrži nešto što nije cifra",IF(N172="","Nepostojeći datum rođenja",IF(VALUE(MID(C172,13,1))&lt;&gt;L172,"Pogrešna kontrolna cifra - treba "&amp;L172,"✓ ispravan")))))</f>
        <v/>
      </c>
      <c r="K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L172">
        <f>IF(K172="","",IF(11-MOD(K172,11)&gt;9,0,11-MOD(K172,11)))</f>
        <v/>
      </c>
      <c r="M172">
        <f>IFERROR(IF(LEN(C172)&lt;&gt;13,"",IF(VALUE(MID(C172,5,3))&gt;=800,1000,2000)+VALUE(MID(C172,5,3))),"")</f>
        <v/>
      </c>
      <c r="N172">
        <f>IFERROR(IF(M172="","",IF(AND(DAY(DATE(M172,VALUE(MID(C172,3,2)),VALUE(MID(C172,1,2))))=VALUE(MID(C172,1,2)),MONTH(DATE(M172,VALUE(MID(C172,3,2)),VALUE(MID(C172,1,2))))=VALUE(MID(C172,3,2))),DATE(M172,VALUE(MID(C172,3,2)),VALUE(MID(C172,1,2))),"")),"")</f>
        <v/>
      </c>
    </row>
    <row r="173">
      <c r="A173" s="2" t="n"/>
      <c r="B173" s="2" t="n"/>
      <c r="C173" s="3" t="n"/>
      <c r="D173" s="2" t="n"/>
      <c r="E173" s="4">
        <f>IF(A173="","",5)</f>
        <v/>
      </c>
      <c r="F173" s="2" t="n"/>
      <c r="G173" s="4" t="n"/>
      <c r="H173" s="2" t="n"/>
      <c r="I173" s="2" t="n"/>
      <c r="J173" s="2">
        <f>IF(C173="","",IF(LEN(C173)&lt;&gt;13,"Nema 13 cifara (ima "&amp;LEN(C173)&amp;")",IF(L173="","JMBG sadrži nešto što nije cifra",IF(N173="","Nepostojeći datum rođenja",IF(VALUE(MID(C173,13,1))&lt;&gt;L173,"Pogrešna kontrolna cifra - treba "&amp;L173,"✓ ispravan")))))</f>
        <v/>
      </c>
      <c r="K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L173">
        <f>IF(K173="","",IF(11-MOD(K173,11)&gt;9,0,11-MOD(K173,11)))</f>
        <v/>
      </c>
      <c r="M173">
        <f>IFERROR(IF(LEN(C173)&lt;&gt;13,"",IF(VALUE(MID(C173,5,3))&gt;=800,1000,2000)+VALUE(MID(C173,5,3))),"")</f>
        <v/>
      </c>
      <c r="N173">
        <f>IFERROR(IF(M173="","",IF(AND(DAY(DATE(M173,VALUE(MID(C173,3,2)),VALUE(MID(C173,1,2))))=VALUE(MID(C173,1,2)),MONTH(DATE(M173,VALUE(MID(C173,3,2)),VALUE(MID(C173,1,2))))=VALUE(MID(C173,3,2))),DATE(M173,VALUE(MID(C173,3,2)),VALUE(MID(C173,1,2))),"")),"")</f>
        <v/>
      </c>
    </row>
    <row r="174">
      <c r="A174" s="2" t="n"/>
      <c r="B174" s="2" t="n"/>
      <c r="C174" s="3" t="n"/>
      <c r="D174" s="2" t="n"/>
      <c r="E174" s="4">
        <f>IF(A174="","",5)</f>
        <v/>
      </c>
      <c r="F174" s="2" t="n"/>
      <c r="G174" s="4" t="n"/>
      <c r="H174" s="2" t="n"/>
      <c r="I174" s="2" t="n"/>
      <c r="J174" s="2">
        <f>IF(C174="","",IF(LEN(C174)&lt;&gt;13,"Nema 13 cifara (ima "&amp;LEN(C174)&amp;")",IF(L174="","JMBG sadrži nešto što nije cifra",IF(N174="","Nepostojeći datum rođenja",IF(VALUE(MID(C174,13,1))&lt;&gt;L174,"Pogrešna kontrolna cifra - treba "&amp;L174,"✓ ispravan")))))</f>
        <v/>
      </c>
      <c r="K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L174">
        <f>IF(K174="","",IF(11-MOD(K174,11)&gt;9,0,11-MOD(K174,11)))</f>
        <v/>
      </c>
      <c r="M174">
        <f>IFERROR(IF(LEN(C174)&lt;&gt;13,"",IF(VALUE(MID(C174,5,3))&gt;=800,1000,2000)+VALUE(MID(C174,5,3))),"")</f>
        <v/>
      </c>
      <c r="N174">
        <f>IFERROR(IF(M174="","",IF(AND(DAY(DATE(M174,VALUE(MID(C174,3,2)),VALUE(MID(C174,1,2))))=VALUE(MID(C174,1,2)),MONTH(DATE(M174,VALUE(MID(C174,3,2)),VALUE(MID(C174,1,2))))=VALUE(MID(C174,3,2))),DATE(M174,VALUE(MID(C174,3,2)),VALUE(MID(C174,1,2))),"")),"")</f>
        <v/>
      </c>
    </row>
    <row r="175">
      <c r="A175" s="2" t="n"/>
      <c r="B175" s="2" t="n"/>
      <c r="C175" s="3" t="n"/>
      <c r="D175" s="2" t="n"/>
      <c r="E175" s="4">
        <f>IF(A175="","",5)</f>
        <v/>
      </c>
      <c r="F175" s="2" t="n"/>
      <c r="G175" s="4" t="n"/>
      <c r="H175" s="2" t="n"/>
      <c r="I175" s="2" t="n"/>
      <c r="J175" s="2">
        <f>IF(C175="","",IF(LEN(C175)&lt;&gt;13,"Nema 13 cifara (ima "&amp;LEN(C175)&amp;")",IF(L175="","JMBG sadrži nešto što nije cifra",IF(N175="","Nepostojeći datum rođenja",IF(VALUE(MID(C175,13,1))&lt;&gt;L175,"Pogrešna kontrolna cifra - treba "&amp;L175,"✓ ispravan")))))</f>
        <v/>
      </c>
      <c r="K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L175">
        <f>IF(K175="","",IF(11-MOD(K175,11)&gt;9,0,11-MOD(K175,11)))</f>
        <v/>
      </c>
      <c r="M175">
        <f>IFERROR(IF(LEN(C175)&lt;&gt;13,"",IF(VALUE(MID(C175,5,3))&gt;=800,1000,2000)+VALUE(MID(C175,5,3))),"")</f>
        <v/>
      </c>
      <c r="N175">
        <f>IFERROR(IF(M175="","",IF(AND(DAY(DATE(M175,VALUE(MID(C175,3,2)),VALUE(MID(C175,1,2))))=VALUE(MID(C175,1,2)),MONTH(DATE(M175,VALUE(MID(C175,3,2)),VALUE(MID(C175,1,2))))=VALUE(MID(C175,3,2))),DATE(M175,VALUE(MID(C175,3,2)),VALUE(MID(C175,1,2))),"")),"")</f>
        <v/>
      </c>
    </row>
    <row r="176">
      <c r="A176" s="2" t="n"/>
      <c r="B176" s="2" t="n"/>
      <c r="C176" s="3" t="n"/>
      <c r="D176" s="2" t="n"/>
      <c r="E176" s="4">
        <f>IF(A176="","",5)</f>
        <v/>
      </c>
      <c r="F176" s="2" t="n"/>
      <c r="G176" s="4" t="n"/>
      <c r="H176" s="2" t="n"/>
      <c r="I176" s="2" t="n"/>
      <c r="J176" s="2">
        <f>IF(C176="","",IF(LEN(C176)&lt;&gt;13,"Nema 13 cifara (ima "&amp;LEN(C176)&amp;")",IF(L176="","JMBG sadrži nešto što nije cifra",IF(N176="","Nepostojeći datum rođenja",IF(VALUE(MID(C176,13,1))&lt;&gt;L176,"Pogrešna kontrolna cifra - treba "&amp;L176,"✓ ispravan")))))</f>
        <v/>
      </c>
      <c r="K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L176">
        <f>IF(K176="","",IF(11-MOD(K176,11)&gt;9,0,11-MOD(K176,11)))</f>
        <v/>
      </c>
      <c r="M176">
        <f>IFERROR(IF(LEN(C176)&lt;&gt;13,"",IF(VALUE(MID(C176,5,3))&gt;=800,1000,2000)+VALUE(MID(C176,5,3))),"")</f>
        <v/>
      </c>
      <c r="N176">
        <f>IFERROR(IF(M176="","",IF(AND(DAY(DATE(M176,VALUE(MID(C176,3,2)),VALUE(MID(C176,1,2))))=VALUE(MID(C176,1,2)),MONTH(DATE(M176,VALUE(MID(C176,3,2)),VALUE(MID(C176,1,2))))=VALUE(MID(C176,3,2))),DATE(M176,VALUE(MID(C176,3,2)),VALUE(MID(C176,1,2))),"")),"")</f>
        <v/>
      </c>
    </row>
    <row r="177">
      <c r="A177" s="2" t="n"/>
      <c r="B177" s="2" t="n"/>
      <c r="C177" s="3" t="n"/>
      <c r="D177" s="2" t="n"/>
      <c r="E177" s="4">
        <f>IF(A177="","",5)</f>
        <v/>
      </c>
      <c r="F177" s="2" t="n"/>
      <c r="G177" s="4" t="n"/>
      <c r="H177" s="2" t="n"/>
      <c r="I177" s="2" t="n"/>
      <c r="J177" s="2">
        <f>IF(C177="","",IF(LEN(C177)&lt;&gt;13,"Nema 13 cifara (ima "&amp;LEN(C177)&amp;")",IF(L177="","JMBG sadrži nešto što nije cifra",IF(N177="","Nepostojeći datum rođenja",IF(VALUE(MID(C177,13,1))&lt;&gt;L177,"Pogrešna kontrolna cifra - treba "&amp;L177,"✓ ispravan")))))</f>
        <v/>
      </c>
      <c r="K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L177">
        <f>IF(K177="","",IF(11-MOD(K177,11)&gt;9,0,11-MOD(K177,11)))</f>
        <v/>
      </c>
      <c r="M177">
        <f>IFERROR(IF(LEN(C177)&lt;&gt;13,"",IF(VALUE(MID(C177,5,3))&gt;=800,1000,2000)+VALUE(MID(C177,5,3))),"")</f>
        <v/>
      </c>
      <c r="N177">
        <f>IFERROR(IF(M177="","",IF(AND(DAY(DATE(M177,VALUE(MID(C177,3,2)),VALUE(MID(C177,1,2))))=VALUE(MID(C177,1,2)),MONTH(DATE(M177,VALUE(MID(C177,3,2)),VALUE(MID(C177,1,2))))=VALUE(MID(C177,3,2))),DATE(M177,VALUE(MID(C177,3,2)),VALUE(MID(C177,1,2))),"")),"")</f>
        <v/>
      </c>
    </row>
    <row r="178">
      <c r="A178" s="2" t="n"/>
      <c r="B178" s="2" t="n"/>
      <c r="C178" s="3" t="n"/>
      <c r="D178" s="2" t="n"/>
      <c r="E178" s="4">
        <f>IF(A178="","",5)</f>
        <v/>
      </c>
      <c r="F178" s="2" t="n"/>
      <c r="G178" s="4" t="n"/>
      <c r="H178" s="2" t="n"/>
      <c r="I178" s="2" t="n"/>
      <c r="J178" s="2">
        <f>IF(C178="","",IF(LEN(C178)&lt;&gt;13,"Nema 13 cifara (ima "&amp;LEN(C178)&amp;")",IF(L178="","JMBG sadrži nešto što nije cifra",IF(N178="","Nepostojeći datum rođenja",IF(VALUE(MID(C178,13,1))&lt;&gt;L178,"Pogrešna kontrolna cifra - treba "&amp;L178,"✓ ispravan")))))</f>
        <v/>
      </c>
      <c r="K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L178">
        <f>IF(K178="","",IF(11-MOD(K178,11)&gt;9,0,11-MOD(K178,11)))</f>
        <v/>
      </c>
      <c r="M178">
        <f>IFERROR(IF(LEN(C178)&lt;&gt;13,"",IF(VALUE(MID(C178,5,3))&gt;=800,1000,2000)+VALUE(MID(C178,5,3))),"")</f>
        <v/>
      </c>
      <c r="N178">
        <f>IFERROR(IF(M178="","",IF(AND(DAY(DATE(M178,VALUE(MID(C178,3,2)),VALUE(MID(C178,1,2))))=VALUE(MID(C178,1,2)),MONTH(DATE(M178,VALUE(MID(C178,3,2)),VALUE(MID(C178,1,2))))=VALUE(MID(C178,3,2))),DATE(M178,VALUE(MID(C178,3,2)),VALUE(MID(C178,1,2))),"")),"")</f>
        <v/>
      </c>
    </row>
    <row r="179">
      <c r="A179" s="2" t="n"/>
      <c r="B179" s="2" t="n"/>
      <c r="C179" s="3" t="n"/>
      <c r="D179" s="2" t="n"/>
      <c r="E179" s="4">
        <f>IF(A179="","",5)</f>
        <v/>
      </c>
      <c r="F179" s="2" t="n"/>
      <c r="G179" s="4" t="n"/>
      <c r="H179" s="2" t="n"/>
      <c r="I179" s="2" t="n"/>
      <c r="J179" s="2">
        <f>IF(C179="","",IF(LEN(C179)&lt;&gt;13,"Nema 13 cifara (ima "&amp;LEN(C179)&amp;")",IF(L179="","JMBG sadrži nešto što nije cifra",IF(N179="","Nepostojeći datum rođenja",IF(VALUE(MID(C179,13,1))&lt;&gt;L179,"Pogrešna kontrolna cifra - treba "&amp;L179,"✓ ispravan")))))</f>
        <v/>
      </c>
      <c r="K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L179">
        <f>IF(K179="","",IF(11-MOD(K179,11)&gt;9,0,11-MOD(K179,11)))</f>
        <v/>
      </c>
      <c r="M179">
        <f>IFERROR(IF(LEN(C179)&lt;&gt;13,"",IF(VALUE(MID(C179,5,3))&gt;=800,1000,2000)+VALUE(MID(C179,5,3))),"")</f>
        <v/>
      </c>
      <c r="N179">
        <f>IFERROR(IF(M179="","",IF(AND(DAY(DATE(M179,VALUE(MID(C179,3,2)),VALUE(MID(C179,1,2))))=VALUE(MID(C179,1,2)),MONTH(DATE(M179,VALUE(MID(C179,3,2)),VALUE(MID(C179,1,2))))=VALUE(MID(C179,3,2))),DATE(M179,VALUE(MID(C179,3,2)),VALUE(MID(C179,1,2))),"")),"")</f>
        <v/>
      </c>
    </row>
    <row r="180">
      <c r="A180" s="2" t="n"/>
      <c r="B180" s="2" t="n"/>
      <c r="C180" s="3" t="n"/>
      <c r="D180" s="2" t="n"/>
      <c r="E180" s="4">
        <f>IF(A180="","",5)</f>
        <v/>
      </c>
      <c r="F180" s="2" t="n"/>
      <c r="G180" s="4" t="n"/>
      <c r="H180" s="2" t="n"/>
      <c r="I180" s="2" t="n"/>
      <c r="J180" s="2">
        <f>IF(C180="","",IF(LEN(C180)&lt;&gt;13,"Nema 13 cifara (ima "&amp;LEN(C180)&amp;")",IF(L180="","JMBG sadrži nešto što nije cifra",IF(N180="","Nepostojeći datum rođenja",IF(VALUE(MID(C180,13,1))&lt;&gt;L180,"Pogrešna kontrolna cifra - treba "&amp;L180,"✓ ispravan")))))</f>
        <v/>
      </c>
      <c r="K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L180">
        <f>IF(K180="","",IF(11-MOD(K180,11)&gt;9,0,11-MOD(K180,11)))</f>
        <v/>
      </c>
      <c r="M180">
        <f>IFERROR(IF(LEN(C180)&lt;&gt;13,"",IF(VALUE(MID(C180,5,3))&gt;=800,1000,2000)+VALUE(MID(C180,5,3))),"")</f>
        <v/>
      </c>
      <c r="N180">
        <f>IFERROR(IF(M180="","",IF(AND(DAY(DATE(M180,VALUE(MID(C180,3,2)),VALUE(MID(C180,1,2))))=VALUE(MID(C180,1,2)),MONTH(DATE(M180,VALUE(MID(C180,3,2)),VALUE(MID(C180,1,2))))=VALUE(MID(C180,3,2))),DATE(M180,VALUE(MID(C180,3,2)),VALUE(MID(C180,1,2))),"")),"")</f>
        <v/>
      </c>
    </row>
    <row r="181">
      <c r="A181" s="2" t="n"/>
      <c r="B181" s="2" t="n"/>
      <c r="C181" s="3" t="n"/>
      <c r="D181" s="2" t="n"/>
      <c r="E181" s="4">
        <f>IF(A181="","",5)</f>
        <v/>
      </c>
      <c r="F181" s="2" t="n"/>
      <c r="G181" s="4" t="n"/>
      <c r="H181" s="2" t="n"/>
      <c r="I181" s="2" t="n"/>
      <c r="J181" s="2">
        <f>IF(C181="","",IF(LEN(C181)&lt;&gt;13,"Nema 13 cifara (ima "&amp;LEN(C181)&amp;")",IF(L181="","JMBG sadrži nešto što nije cifra",IF(N181="","Nepostojeći datum rođenja",IF(VALUE(MID(C181,13,1))&lt;&gt;L181,"Pogrešna kontrolna cifra - treba "&amp;L181,"✓ ispravan")))))</f>
        <v/>
      </c>
      <c r="K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L181">
        <f>IF(K181="","",IF(11-MOD(K181,11)&gt;9,0,11-MOD(K181,11)))</f>
        <v/>
      </c>
      <c r="M181">
        <f>IFERROR(IF(LEN(C181)&lt;&gt;13,"",IF(VALUE(MID(C181,5,3))&gt;=800,1000,2000)+VALUE(MID(C181,5,3))),"")</f>
        <v/>
      </c>
      <c r="N181">
        <f>IFERROR(IF(M181="","",IF(AND(DAY(DATE(M181,VALUE(MID(C181,3,2)),VALUE(MID(C181,1,2))))=VALUE(MID(C181,1,2)),MONTH(DATE(M181,VALUE(MID(C181,3,2)),VALUE(MID(C181,1,2))))=VALUE(MID(C181,3,2))),DATE(M181,VALUE(MID(C181,3,2)),VALUE(MID(C181,1,2))),"")),"")</f>
        <v/>
      </c>
    </row>
    <row r="182">
      <c r="A182" s="2" t="n"/>
      <c r="B182" s="2" t="n"/>
      <c r="C182" s="3" t="n"/>
      <c r="D182" s="2" t="n"/>
      <c r="E182" s="4">
        <f>IF(A182="","",5)</f>
        <v/>
      </c>
      <c r="F182" s="2" t="n"/>
      <c r="G182" s="4" t="n"/>
      <c r="H182" s="2" t="n"/>
      <c r="I182" s="2" t="n"/>
      <c r="J182" s="2">
        <f>IF(C182="","",IF(LEN(C182)&lt;&gt;13,"Nema 13 cifara (ima "&amp;LEN(C182)&amp;")",IF(L182="","JMBG sadrži nešto što nije cifra",IF(N182="","Nepostojeći datum rođenja",IF(VALUE(MID(C182,13,1))&lt;&gt;L182,"Pogrešna kontrolna cifra - treba "&amp;L182,"✓ ispravan")))))</f>
        <v/>
      </c>
      <c r="K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L182">
        <f>IF(K182="","",IF(11-MOD(K182,11)&gt;9,0,11-MOD(K182,11)))</f>
        <v/>
      </c>
      <c r="M182">
        <f>IFERROR(IF(LEN(C182)&lt;&gt;13,"",IF(VALUE(MID(C182,5,3))&gt;=800,1000,2000)+VALUE(MID(C182,5,3))),"")</f>
        <v/>
      </c>
      <c r="N182">
        <f>IFERROR(IF(M182="","",IF(AND(DAY(DATE(M182,VALUE(MID(C182,3,2)),VALUE(MID(C182,1,2))))=VALUE(MID(C182,1,2)),MONTH(DATE(M182,VALUE(MID(C182,3,2)),VALUE(MID(C182,1,2))))=VALUE(MID(C182,3,2))),DATE(M182,VALUE(MID(C182,3,2)),VALUE(MID(C182,1,2))),"")),"")</f>
        <v/>
      </c>
    </row>
    <row r="183">
      <c r="A183" s="2" t="n"/>
      <c r="B183" s="2" t="n"/>
      <c r="C183" s="3" t="n"/>
      <c r="D183" s="2" t="n"/>
      <c r="E183" s="4">
        <f>IF(A183="","",5)</f>
        <v/>
      </c>
      <c r="F183" s="2" t="n"/>
      <c r="G183" s="4" t="n"/>
      <c r="H183" s="2" t="n"/>
      <c r="I183" s="2" t="n"/>
      <c r="J183" s="2">
        <f>IF(C183="","",IF(LEN(C183)&lt;&gt;13,"Nema 13 cifara (ima "&amp;LEN(C183)&amp;")",IF(L183="","JMBG sadrži nešto što nije cifra",IF(N183="","Nepostojeći datum rođenja",IF(VALUE(MID(C183,13,1))&lt;&gt;L183,"Pogrešna kontrolna cifra - treba "&amp;L183,"✓ ispravan")))))</f>
        <v/>
      </c>
      <c r="K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L183">
        <f>IF(K183="","",IF(11-MOD(K183,11)&gt;9,0,11-MOD(K183,11)))</f>
        <v/>
      </c>
      <c r="M183">
        <f>IFERROR(IF(LEN(C183)&lt;&gt;13,"",IF(VALUE(MID(C183,5,3))&gt;=800,1000,2000)+VALUE(MID(C183,5,3))),"")</f>
        <v/>
      </c>
      <c r="N183">
        <f>IFERROR(IF(M183="","",IF(AND(DAY(DATE(M183,VALUE(MID(C183,3,2)),VALUE(MID(C183,1,2))))=VALUE(MID(C183,1,2)),MONTH(DATE(M183,VALUE(MID(C183,3,2)),VALUE(MID(C183,1,2))))=VALUE(MID(C183,3,2))),DATE(M183,VALUE(MID(C183,3,2)),VALUE(MID(C183,1,2))),"")),"")</f>
        <v/>
      </c>
    </row>
    <row r="184">
      <c r="A184" s="2" t="n"/>
      <c r="B184" s="2" t="n"/>
      <c r="C184" s="3" t="n"/>
      <c r="D184" s="2" t="n"/>
      <c r="E184" s="4">
        <f>IF(A184="","",5)</f>
        <v/>
      </c>
      <c r="F184" s="2" t="n"/>
      <c r="G184" s="4" t="n"/>
      <c r="H184" s="2" t="n"/>
      <c r="I184" s="2" t="n"/>
      <c r="J184" s="2">
        <f>IF(C184="","",IF(LEN(C184)&lt;&gt;13,"Nema 13 cifara (ima "&amp;LEN(C184)&amp;")",IF(L184="","JMBG sadrži nešto što nije cifra",IF(N184="","Nepostojeći datum rođenja",IF(VALUE(MID(C184,13,1))&lt;&gt;L184,"Pogrešna kontrolna cifra - treba "&amp;L184,"✓ ispravan")))))</f>
        <v/>
      </c>
      <c r="K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L184">
        <f>IF(K184="","",IF(11-MOD(K184,11)&gt;9,0,11-MOD(K184,11)))</f>
        <v/>
      </c>
      <c r="M184">
        <f>IFERROR(IF(LEN(C184)&lt;&gt;13,"",IF(VALUE(MID(C184,5,3))&gt;=800,1000,2000)+VALUE(MID(C184,5,3))),"")</f>
        <v/>
      </c>
      <c r="N184">
        <f>IFERROR(IF(M184="","",IF(AND(DAY(DATE(M184,VALUE(MID(C184,3,2)),VALUE(MID(C184,1,2))))=VALUE(MID(C184,1,2)),MONTH(DATE(M184,VALUE(MID(C184,3,2)),VALUE(MID(C184,1,2))))=VALUE(MID(C184,3,2))),DATE(M184,VALUE(MID(C184,3,2)),VALUE(MID(C184,1,2))),"")),"")</f>
        <v/>
      </c>
    </row>
    <row r="185">
      <c r="A185" s="2" t="n"/>
      <c r="B185" s="2" t="n"/>
      <c r="C185" s="3" t="n"/>
      <c r="D185" s="2" t="n"/>
      <c r="E185" s="4">
        <f>IF(A185="","",5)</f>
        <v/>
      </c>
      <c r="F185" s="2" t="n"/>
      <c r="G185" s="4" t="n"/>
      <c r="H185" s="2" t="n"/>
      <c r="I185" s="2" t="n"/>
      <c r="J185" s="2">
        <f>IF(C185="","",IF(LEN(C185)&lt;&gt;13,"Nema 13 cifara (ima "&amp;LEN(C185)&amp;")",IF(L185="","JMBG sadrži nešto što nije cifra",IF(N185="","Nepostojeći datum rođenja",IF(VALUE(MID(C185,13,1))&lt;&gt;L185,"Pogrešna kontrolna cifra - treba "&amp;L185,"✓ ispravan")))))</f>
        <v/>
      </c>
      <c r="K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L185">
        <f>IF(K185="","",IF(11-MOD(K185,11)&gt;9,0,11-MOD(K185,11)))</f>
        <v/>
      </c>
      <c r="M185">
        <f>IFERROR(IF(LEN(C185)&lt;&gt;13,"",IF(VALUE(MID(C185,5,3))&gt;=800,1000,2000)+VALUE(MID(C185,5,3))),"")</f>
        <v/>
      </c>
      <c r="N185">
        <f>IFERROR(IF(M185="","",IF(AND(DAY(DATE(M185,VALUE(MID(C185,3,2)),VALUE(MID(C185,1,2))))=VALUE(MID(C185,1,2)),MONTH(DATE(M185,VALUE(MID(C185,3,2)),VALUE(MID(C185,1,2))))=VALUE(MID(C185,3,2))),DATE(M185,VALUE(MID(C185,3,2)),VALUE(MID(C185,1,2))),"")),"")</f>
        <v/>
      </c>
    </row>
    <row r="186">
      <c r="A186" s="2" t="n"/>
      <c r="B186" s="2" t="n"/>
      <c r="C186" s="3" t="n"/>
      <c r="D186" s="2" t="n"/>
      <c r="E186" s="4">
        <f>IF(A186="","",5)</f>
        <v/>
      </c>
      <c r="F186" s="2" t="n"/>
      <c r="G186" s="4" t="n"/>
      <c r="H186" s="2" t="n"/>
      <c r="I186" s="2" t="n"/>
      <c r="J186" s="2">
        <f>IF(C186="","",IF(LEN(C186)&lt;&gt;13,"Nema 13 cifara (ima "&amp;LEN(C186)&amp;")",IF(L186="","JMBG sadrži nešto što nije cifra",IF(N186="","Nepostojeći datum rođenja",IF(VALUE(MID(C186,13,1))&lt;&gt;L186,"Pogrešna kontrolna cifra - treba "&amp;L186,"✓ ispravan")))))</f>
        <v/>
      </c>
      <c r="K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L186">
        <f>IF(K186="","",IF(11-MOD(K186,11)&gt;9,0,11-MOD(K186,11)))</f>
        <v/>
      </c>
      <c r="M186">
        <f>IFERROR(IF(LEN(C186)&lt;&gt;13,"",IF(VALUE(MID(C186,5,3))&gt;=800,1000,2000)+VALUE(MID(C186,5,3))),"")</f>
        <v/>
      </c>
      <c r="N186">
        <f>IFERROR(IF(M186="","",IF(AND(DAY(DATE(M186,VALUE(MID(C186,3,2)),VALUE(MID(C186,1,2))))=VALUE(MID(C186,1,2)),MONTH(DATE(M186,VALUE(MID(C186,3,2)),VALUE(MID(C186,1,2))))=VALUE(MID(C186,3,2))),DATE(M186,VALUE(MID(C186,3,2)),VALUE(MID(C186,1,2))),"")),"")</f>
        <v/>
      </c>
    </row>
    <row r="187">
      <c r="A187" s="2" t="n"/>
      <c r="B187" s="2" t="n"/>
      <c r="C187" s="3" t="n"/>
      <c r="D187" s="2" t="n"/>
      <c r="E187" s="4">
        <f>IF(A187="","",5)</f>
        <v/>
      </c>
      <c r="F187" s="2" t="n"/>
      <c r="G187" s="4" t="n"/>
      <c r="H187" s="2" t="n"/>
      <c r="I187" s="2" t="n"/>
      <c r="J187" s="2">
        <f>IF(C187="","",IF(LEN(C187)&lt;&gt;13,"Nema 13 cifara (ima "&amp;LEN(C187)&amp;")",IF(L187="","JMBG sadrži nešto što nije cifra",IF(N187="","Nepostojeći datum rođenja",IF(VALUE(MID(C187,13,1))&lt;&gt;L187,"Pogrešna kontrolna cifra - treba "&amp;L187,"✓ ispravan")))))</f>
        <v/>
      </c>
      <c r="K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L187">
        <f>IF(K187="","",IF(11-MOD(K187,11)&gt;9,0,11-MOD(K187,11)))</f>
        <v/>
      </c>
      <c r="M187">
        <f>IFERROR(IF(LEN(C187)&lt;&gt;13,"",IF(VALUE(MID(C187,5,3))&gt;=800,1000,2000)+VALUE(MID(C187,5,3))),"")</f>
        <v/>
      </c>
      <c r="N187">
        <f>IFERROR(IF(M187="","",IF(AND(DAY(DATE(M187,VALUE(MID(C187,3,2)),VALUE(MID(C187,1,2))))=VALUE(MID(C187,1,2)),MONTH(DATE(M187,VALUE(MID(C187,3,2)),VALUE(MID(C187,1,2))))=VALUE(MID(C187,3,2))),DATE(M187,VALUE(MID(C187,3,2)),VALUE(MID(C187,1,2))),"")),"")</f>
        <v/>
      </c>
    </row>
    <row r="188">
      <c r="A188" s="2" t="n"/>
      <c r="B188" s="2" t="n"/>
      <c r="C188" s="3" t="n"/>
      <c r="D188" s="2" t="n"/>
      <c r="E188" s="4">
        <f>IF(A188="","",5)</f>
        <v/>
      </c>
      <c r="F188" s="2" t="n"/>
      <c r="G188" s="4" t="n"/>
      <c r="H188" s="2" t="n"/>
      <c r="I188" s="2" t="n"/>
      <c r="J188" s="2">
        <f>IF(C188="","",IF(LEN(C188)&lt;&gt;13,"Nema 13 cifara (ima "&amp;LEN(C188)&amp;")",IF(L188="","JMBG sadrži nešto što nije cifra",IF(N188="","Nepostojeći datum rođenja",IF(VALUE(MID(C188,13,1))&lt;&gt;L188,"Pogrešna kontrolna cifra - treba "&amp;L188,"✓ ispravan")))))</f>
        <v/>
      </c>
      <c r="K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L188">
        <f>IF(K188="","",IF(11-MOD(K188,11)&gt;9,0,11-MOD(K188,11)))</f>
        <v/>
      </c>
      <c r="M188">
        <f>IFERROR(IF(LEN(C188)&lt;&gt;13,"",IF(VALUE(MID(C188,5,3))&gt;=800,1000,2000)+VALUE(MID(C188,5,3))),"")</f>
        <v/>
      </c>
      <c r="N188">
        <f>IFERROR(IF(M188="","",IF(AND(DAY(DATE(M188,VALUE(MID(C188,3,2)),VALUE(MID(C188,1,2))))=VALUE(MID(C188,1,2)),MONTH(DATE(M188,VALUE(MID(C188,3,2)),VALUE(MID(C188,1,2))))=VALUE(MID(C188,3,2))),DATE(M188,VALUE(MID(C188,3,2)),VALUE(MID(C188,1,2))),"")),"")</f>
        <v/>
      </c>
    </row>
    <row r="189">
      <c r="A189" s="2" t="n"/>
      <c r="B189" s="2" t="n"/>
      <c r="C189" s="3" t="n"/>
      <c r="D189" s="2" t="n"/>
      <c r="E189" s="4">
        <f>IF(A189="","",5)</f>
        <v/>
      </c>
      <c r="F189" s="2" t="n"/>
      <c r="G189" s="4" t="n"/>
      <c r="H189" s="2" t="n"/>
      <c r="I189" s="2" t="n"/>
      <c r="J189" s="2">
        <f>IF(C189="","",IF(LEN(C189)&lt;&gt;13,"Nema 13 cifara (ima "&amp;LEN(C189)&amp;")",IF(L189="","JMBG sadrži nešto što nije cifra",IF(N189="","Nepostojeći datum rođenja",IF(VALUE(MID(C189,13,1))&lt;&gt;L189,"Pogrešna kontrolna cifra - treba "&amp;L189,"✓ ispravan")))))</f>
        <v/>
      </c>
      <c r="K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L189">
        <f>IF(K189="","",IF(11-MOD(K189,11)&gt;9,0,11-MOD(K189,11)))</f>
        <v/>
      </c>
      <c r="M189">
        <f>IFERROR(IF(LEN(C189)&lt;&gt;13,"",IF(VALUE(MID(C189,5,3))&gt;=800,1000,2000)+VALUE(MID(C189,5,3))),"")</f>
        <v/>
      </c>
      <c r="N189">
        <f>IFERROR(IF(M189="","",IF(AND(DAY(DATE(M189,VALUE(MID(C189,3,2)),VALUE(MID(C189,1,2))))=VALUE(MID(C189,1,2)),MONTH(DATE(M189,VALUE(MID(C189,3,2)),VALUE(MID(C189,1,2))))=VALUE(MID(C189,3,2))),DATE(M189,VALUE(MID(C189,3,2)),VALUE(MID(C189,1,2))),"")),"")</f>
        <v/>
      </c>
    </row>
    <row r="190">
      <c r="A190" s="2" t="n"/>
      <c r="B190" s="2" t="n"/>
      <c r="C190" s="3" t="n"/>
      <c r="D190" s="2" t="n"/>
      <c r="E190" s="4">
        <f>IF(A190="","",5)</f>
        <v/>
      </c>
      <c r="F190" s="2" t="n"/>
      <c r="G190" s="4" t="n"/>
      <c r="H190" s="2" t="n"/>
      <c r="I190" s="2" t="n"/>
      <c r="J190" s="2">
        <f>IF(C190="","",IF(LEN(C190)&lt;&gt;13,"Nema 13 cifara (ima "&amp;LEN(C190)&amp;")",IF(L190="","JMBG sadrži nešto što nije cifra",IF(N190="","Nepostojeći datum rođenja",IF(VALUE(MID(C190,13,1))&lt;&gt;L190,"Pogrešna kontrolna cifra - treba "&amp;L190,"✓ ispravan")))))</f>
        <v/>
      </c>
      <c r="K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L190">
        <f>IF(K190="","",IF(11-MOD(K190,11)&gt;9,0,11-MOD(K190,11)))</f>
        <v/>
      </c>
      <c r="M190">
        <f>IFERROR(IF(LEN(C190)&lt;&gt;13,"",IF(VALUE(MID(C190,5,3))&gt;=800,1000,2000)+VALUE(MID(C190,5,3))),"")</f>
        <v/>
      </c>
      <c r="N190">
        <f>IFERROR(IF(M190="","",IF(AND(DAY(DATE(M190,VALUE(MID(C190,3,2)),VALUE(MID(C190,1,2))))=VALUE(MID(C190,1,2)),MONTH(DATE(M190,VALUE(MID(C190,3,2)),VALUE(MID(C190,1,2))))=VALUE(MID(C190,3,2))),DATE(M190,VALUE(MID(C190,3,2)),VALUE(MID(C190,1,2))),"")),"")</f>
        <v/>
      </c>
    </row>
    <row r="191">
      <c r="A191" s="2" t="n"/>
      <c r="B191" s="2" t="n"/>
      <c r="C191" s="3" t="n"/>
      <c r="D191" s="2" t="n"/>
      <c r="E191" s="4">
        <f>IF(A191="","",5)</f>
        <v/>
      </c>
      <c r="F191" s="2" t="n"/>
      <c r="G191" s="4" t="n"/>
      <c r="H191" s="2" t="n"/>
      <c r="I191" s="2" t="n"/>
      <c r="J191" s="2">
        <f>IF(C191="","",IF(LEN(C191)&lt;&gt;13,"Nema 13 cifara (ima "&amp;LEN(C191)&amp;")",IF(L191="","JMBG sadrži nešto što nije cifra",IF(N191="","Nepostojeći datum rođenja",IF(VALUE(MID(C191,13,1))&lt;&gt;L191,"Pogrešna kontrolna cifra - treba "&amp;L191,"✓ ispravan")))))</f>
        <v/>
      </c>
      <c r="K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L191">
        <f>IF(K191="","",IF(11-MOD(K191,11)&gt;9,0,11-MOD(K191,11)))</f>
        <v/>
      </c>
      <c r="M191">
        <f>IFERROR(IF(LEN(C191)&lt;&gt;13,"",IF(VALUE(MID(C191,5,3))&gt;=800,1000,2000)+VALUE(MID(C191,5,3))),"")</f>
        <v/>
      </c>
      <c r="N191">
        <f>IFERROR(IF(M191="","",IF(AND(DAY(DATE(M191,VALUE(MID(C191,3,2)),VALUE(MID(C191,1,2))))=VALUE(MID(C191,1,2)),MONTH(DATE(M191,VALUE(MID(C191,3,2)),VALUE(MID(C191,1,2))))=VALUE(MID(C191,3,2))),DATE(M191,VALUE(MID(C191,3,2)),VALUE(MID(C191,1,2))),"")),"")</f>
        <v/>
      </c>
    </row>
    <row r="192">
      <c r="A192" s="2" t="n"/>
      <c r="B192" s="2" t="n"/>
      <c r="C192" s="3" t="n"/>
      <c r="D192" s="2" t="n"/>
      <c r="E192" s="4">
        <f>IF(A192="","",5)</f>
        <v/>
      </c>
      <c r="F192" s="2" t="n"/>
      <c r="G192" s="4" t="n"/>
      <c r="H192" s="2" t="n"/>
      <c r="I192" s="2" t="n"/>
      <c r="J192" s="2">
        <f>IF(C192="","",IF(LEN(C192)&lt;&gt;13,"Nema 13 cifara (ima "&amp;LEN(C192)&amp;")",IF(L192="","JMBG sadrži nešto što nije cifra",IF(N192="","Nepostojeći datum rođenja",IF(VALUE(MID(C192,13,1))&lt;&gt;L192,"Pogrešna kontrolna cifra - treba "&amp;L192,"✓ ispravan")))))</f>
        <v/>
      </c>
      <c r="K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L192">
        <f>IF(K192="","",IF(11-MOD(K192,11)&gt;9,0,11-MOD(K192,11)))</f>
        <v/>
      </c>
      <c r="M192">
        <f>IFERROR(IF(LEN(C192)&lt;&gt;13,"",IF(VALUE(MID(C192,5,3))&gt;=800,1000,2000)+VALUE(MID(C192,5,3))),"")</f>
        <v/>
      </c>
      <c r="N192">
        <f>IFERROR(IF(M192="","",IF(AND(DAY(DATE(M192,VALUE(MID(C192,3,2)),VALUE(MID(C192,1,2))))=VALUE(MID(C192,1,2)),MONTH(DATE(M192,VALUE(MID(C192,3,2)),VALUE(MID(C192,1,2))))=VALUE(MID(C192,3,2))),DATE(M192,VALUE(MID(C192,3,2)),VALUE(MID(C192,1,2))),"")),"")</f>
        <v/>
      </c>
    </row>
    <row r="193">
      <c r="A193" s="2" t="n"/>
      <c r="B193" s="2" t="n"/>
      <c r="C193" s="3" t="n"/>
      <c r="D193" s="2" t="n"/>
      <c r="E193" s="4">
        <f>IF(A193="","",5)</f>
        <v/>
      </c>
      <c r="F193" s="2" t="n"/>
      <c r="G193" s="4" t="n"/>
      <c r="H193" s="2" t="n"/>
      <c r="I193" s="2" t="n"/>
      <c r="J193" s="2">
        <f>IF(C193="","",IF(LEN(C193)&lt;&gt;13,"Nema 13 cifara (ima "&amp;LEN(C193)&amp;")",IF(L193="","JMBG sadrži nešto što nije cifra",IF(N193="","Nepostojeći datum rođenja",IF(VALUE(MID(C193,13,1))&lt;&gt;L193,"Pogrešna kontrolna cifra - treba "&amp;L193,"✓ ispravan")))))</f>
        <v/>
      </c>
      <c r="K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L193">
        <f>IF(K193="","",IF(11-MOD(K193,11)&gt;9,0,11-MOD(K193,11)))</f>
        <v/>
      </c>
      <c r="M193">
        <f>IFERROR(IF(LEN(C193)&lt;&gt;13,"",IF(VALUE(MID(C193,5,3))&gt;=800,1000,2000)+VALUE(MID(C193,5,3))),"")</f>
        <v/>
      </c>
      <c r="N193">
        <f>IFERROR(IF(M193="","",IF(AND(DAY(DATE(M193,VALUE(MID(C193,3,2)),VALUE(MID(C193,1,2))))=VALUE(MID(C193,1,2)),MONTH(DATE(M193,VALUE(MID(C193,3,2)),VALUE(MID(C193,1,2))))=VALUE(MID(C193,3,2))),DATE(M193,VALUE(MID(C193,3,2)),VALUE(MID(C193,1,2))),"")),"")</f>
        <v/>
      </c>
    </row>
    <row r="194">
      <c r="A194" s="2" t="n"/>
      <c r="B194" s="2" t="n"/>
      <c r="C194" s="3" t="n"/>
      <c r="D194" s="2" t="n"/>
      <c r="E194" s="4">
        <f>IF(A194="","",5)</f>
        <v/>
      </c>
      <c r="F194" s="2" t="n"/>
      <c r="G194" s="4" t="n"/>
      <c r="H194" s="2" t="n"/>
      <c r="I194" s="2" t="n"/>
      <c r="J194" s="2">
        <f>IF(C194="","",IF(LEN(C194)&lt;&gt;13,"Nema 13 cifara (ima "&amp;LEN(C194)&amp;")",IF(L194="","JMBG sadrži nešto što nije cifra",IF(N194="","Nepostojeći datum rođenja",IF(VALUE(MID(C194,13,1))&lt;&gt;L194,"Pogrešna kontrolna cifra - treba "&amp;L194,"✓ ispravan")))))</f>
        <v/>
      </c>
      <c r="K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L194">
        <f>IF(K194="","",IF(11-MOD(K194,11)&gt;9,0,11-MOD(K194,11)))</f>
        <v/>
      </c>
      <c r="M194">
        <f>IFERROR(IF(LEN(C194)&lt;&gt;13,"",IF(VALUE(MID(C194,5,3))&gt;=800,1000,2000)+VALUE(MID(C194,5,3))),"")</f>
        <v/>
      </c>
      <c r="N194">
        <f>IFERROR(IF(M194="","",IF(AND(DAY(DATE(M194,VALUE(MID(C194,3,2)),VALUE(MID(C194,1,2))))=VALUE(MID(C194,1,2)),MONTH(DATE(M194,VALUE(MID(C194,3,2)),VALUE(MID(C194,1,2))))=VALUE(MID(C194,3,2))),DATE(M194,VALUE(MID(C194,3,2)),VALUE(MID(C194,1,2))),"")),"")</f>
        <v/>
      </c>
    </row>
    <row r="195">
      <c r="A195" s="2" t="n"/>
      <c r="B195" s="2" t="n"/>
      <c r="C195" s="3" t="n"/>
      <c r="D195" s="2" t="n"/>
      <c r="E195" s="4">
        <f>IF(A195="","",5)</f>
        <v/>
      </c>
      <c r="F195" s="2" t="n"/>
      <c r="G195" s="4" t="n"/>
      <c r="H195" s="2" t="n"/>
      <c r="I195" s="2" t="n"/>
      <c r="J195" s="2">
        <f>IF(C195="","",IF(LEN(C195)&lt;&gt;13,"Nema 13 cifara (ima "&amp;LEN(C195)&amp;")",IF(L195="","JMBG sadrži nešto što nije cifra",IF(N195="","Nepostojeći datum rođenja",IF(VALUE(MID(C195,13,1))&lt;&gt;L195,"Pogrešna kontrolna cifra - treba "&amp;L195,"✓ ispravan")))))</f>
        <v/>
      </c>
      <c r="K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L195">
        <f>IF(K195="","",IF(11-MOD(K195,11)&gt;9,0,11-MOD(K195,11)))</f>
        <v/>
      </c>
      <c r="M195">
        <f>IFERROR(IF(LEN(C195)&lt;&gt;13,"",IF(VALUE(MID(C195,5,3))&gt;=800,1000,2000)+VALUE(MID(C195,5,3))),"")</f>
        <v/>
      </c>
      <c r="N195">
        <f>IFERROR(IF(M195="","",IF(AND(DAY(DATE(M195,VALUE(MID(C195,3,2)),VALUE(MID(C195,1,2))))=VALUE(MID(C195,1,2)),MONTH(DATE(M195,VALUE(MID(C195,3,2)),VALUE(MID(C195,1,2))))=VALUE(MID(C195,3,2))),DATE(M195,VALUE(MID(C195,3,2)),VALUE(MID(C195,1,2))),"")),"")</f>
        <v/>
      </c>
    </row>
    <row r="196">
      <c r="A196" s="2" t="n"/>
      <c r="B196" s="2" t="n"/>
      <c r="C196" s="3" t="n"/>
      <c r="D196" s="2" t="n"/>
      <c r="E196" s="4">
        <f>IF(A196="","",5)</f>
        <v/>
      </c>
      <c r="F196" s="2" t="n"/>
      <c r="G196" s="4" t="n"/>
      <c r="H196" s="2" t="n"/>
      <c r="I196" s="2" t="n"/>
      <c r="J196" s="2">
        <f>IF(C196="","",IF(LEN(C196)&lt;&gt;13,"Nema 13 cifara (ima "&amp;LEN(C196)&amp;")",IF(L196="","JMBG sadrži nešto što nije cifra",IF(N196="","Nepostojeći datum rođenja",IF(VALUE(MID(C196,13,1))&lt;&gt;L196,"Pogrešna kontrolna cifra - treba "&amp;L196,"✓ ispravan")))))</f>
        <v/>
      </c>
      <c r="K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L196">
        <f>IF(K196="","",IF(11-MOD(K196,11)&gt;9,0,11-MOD(K196,11)))</f>
        <v/>
      </c>
      <c r="M196">
        <f>IFERROR(IF(LEN(C196)&lt;&gt;13,"",IF(VALUE(MID(C196,5,3))&gt;=800,1000,2000)+VALUE(MID(C196,5,3))),"")</f>
        <v/>
      </c>
      <c r="N196">
        <f>IFERROR(IF(M196="","",IF(AND(DAY(DATE(M196,VALUE(MID(C196,3,2)),VALUE(MID(C196,1,2))))=VALUE(MID(C196,1,2)),MONTH(DATE(M196,VALUE(MID(C196,3,2)),VALUE(MID(C196,1,2))))=VALUE(MID(C196,3,2))),DATE(M196,VALUE(MID(C196,3,2)),VALUE(MID(C196,1,2))),"")),"")</f>
        <v/>
      </c>
    </row>
    <row r="197">
      <c r="A197" s="2" t="n"/>
      <c r="B197" s="2" t="n"/>
      <c r="C197" s="3" t="n"/>
      <c r="D197" s="2" t="n"/>
      <c r="E197" s="4">
        <f>IF(A197="","",5)</f>
        <v/>
      </c>
      <c r="F197" s="2" t="n"/>
      <c r="G197" s="4" t="n"/>
      <c r="H197" s="2" t="n"/>
      <c r="I197" s="2" t="n"/>
      <c r="J197" s="2">
        <f>IF(C197="","",IF(LEN(C197)&lt;&gt;13,"Nema 13 cifara (ima "&amp;LEN(C197)&amp;")",IF(L197="","JMBG sadrži nešto što nije cifra",IF(N197="","Nepostojeći datum rođenja",IF(VALUE(MID(C197,13,1))&lt;&gt;L197,"Pogrešna kontrolna cifra - treba "&amp;L197,"✓ ispravan")))))</f>
        <v/>
      </c>
      <c r="K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L197">
        <f>IF(K197="","",IF(11-MOD(K197,11)&gt;9,0,11-MOD(K197,11)))</f>
        <v/>
      </c>
      <c r="M197">
        <f>IFERROR(IF(LEN(C197)&lt;&gt;13,"",IF(VALUE(MID(C197,5,3))&gt;=800,1000,2000)+VALUE(MID(C197,5,3))),"")</f>
        <v/>
      </c>
      <c r="N197">
        <f>IFERROR(IF(M197="","",IF(AND(DAY(DATE(M197,VALUE(MID(C197,3,2)),VALUE(MID(C197,1,2))))=VALUE(MID(C197,1,2)),MONTH(DATE(M197,VALUE(MID(C197,3,2)),VALUE(MID(C197,1,2))))=VALUE(MID(C197,3,2))),DATE(M197,VALUE(MID(C197,3,2)),VALUE(MID(C197,1,2))),"")),"")</f>
        <v/>
      </c>
    </row>
    <row r="198">
      <c r="A198" s="2" t="n"/>
      <c r="B198" s="2" t="n"/>
      <c r="C198" s="3" t="n"/>
      <c r="D198" s="2" t="n"/>
      <c r="E198" s="4">
        <f>IF(A198="","",5)</f>
        <v/>
      </c>
      <c r="F198" s="2" t="n"/>
      <c r="G198" s="4" t="n"/>
      <c r="H198" s="2" t="n"/>
      <c r="I198" s="2" t="n"/>
      <c r="J198" s="2">
        <f>IF(C198="","",IF(LEN(C198)&lt;&gt;13,"Nema 13 cifara (ima "&amp;LEN(C198)&amp;")",IF(L198="","JMBG sadrži nešto što nije cifra",IF(N198="","Nepostojeći datum rođenja",IF(VALUE(MID(C198,13,1))&lt;&gt;L198,"Pogrešna kontrolna cifra - treba "&amp;L198,"✓ ispravan")))))</f>
        <v/>
      </c>
      <c r="K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L198">
        <f>IF(K198="","",IF(11-MOD(K198,11)&gt;9,0,11-MOD(K198,11)))</f>
        <v/>
      </c>
      <c r="M198">
        <f>IFERROR(IF(LEN(C198)&lt;&gt;13,"",IF(VALUE(MID(C198,5,3))&gt;=800,1000,2000)+VALUE(MID(C198,5,3))),"")</f>
        <v/>
      </c>
      <c r="N198">
        <f>IFERROR(IF(M198="","",IF(AND(DAY(DATE(M198,VALUE(MID(C198,3,2)),VALUE(MID(C198,1,2))))=VALUE(MID(C198,1,2)),MONTH(DATE(M198,VALUE(MID(C198,3,2)),VALUE(MID(C198,1,2))))=VALUE(MID(C198,3,2))),DATE(M198,VALUE(MID(C198,3,2)),VALUE(MID(C198,1,2))),"")),"")</f>
        <v/>
      </c>
    </row>
    <row r="199">
      <c r="A199" s="2" t="n"/>
      <c r="B199" s="2" t="n"/>
      <c r="C199" s="3" t="n"/>
      <c r="D199" s="2" t="n"/>
      <c r="E199" s="4">
        <f>IF(A199="","",5)</f>
        <v/>
      </c>
      <c r="F199" s="2" t="n"/>
      <c r="G199" s="4" t="n"/>
      <c r="H199" s="2" t="n"/>
      <c r="I199" s="2" t="n"/>
      <c r="J199" s="2">
        <f>IF(C199="","",IF(LEN(C199)&lt;&gt;13,"Nema 13 cifara (ima "&amp;LEN(C199)&amp;")",IF(L199="","JMBG sadrži nešto što nije cifra",IF(N199="","Nepostojeći datum rođenja",IF(VALUE(MID(C199,13,1))&lt;&gt;L199,"Pogrešna kontrolna cifra - treba "&amp;L199,"✓ ispravan")))))</f>
        <v/>
      </c>
      <c r="K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L199">
        <f>IF(K199="","",IF(11-MOD(K199,11)&gt;9,0,11-MOD(K199,11)))</f>
        <v/>
      </c>
      <c r="M199">
        <f>IFERROR(IF(LEN(C199)&lt;&gt;13,"",IF(VALUE(MID(C199,5,3))&gt;=800,1000,2000)+VALUE(MID(C199,5,3))),"")</f>
        <v/>
      </c>
      <c r="N199">
        <f>IFERROR(IF(M199="","",IF(AND(DAY(DATE(M199,VALUE(MID(C199,3,2)),VALUE(MID(C199,1,2))))=VALUE(MID(C199,1,2)),MONTH(DATE(M199,VALUE(MID(C199,3,2)),VALUE(MID(C199,1,2))))=VALUE(MID(C199,3,2))),DATE(M199,VALUE(MID(C199,3,2)),VALUE(MID(C199,1,2))),"")),"")</f>
        <v/>
      </c>
    </row>
    <row r="200">
      <c r="A200" s="2" t="n"/>
      <c r="B200" s="2" t="n"/>
      <c r="C200" s="3" t="n"/>
      <c r="D200" s="2" t="n"/>
      <c r="E200" s="4">
        <f>IF(A200="","",5)</f>
        <v/>
      </c>
      <c r="F200" s="2" t="n"/>
      <c r="G200" s="4" t="n"/>
      <c r="H200" s="2" t="n"/>
      <c r="I200" s="2" t="n"/>
      <c r="J200" s="2">
        <f>IF(C200="","",IF(LEN(C200)&lt;&gt;13,"Nema 13 cifara (ima "&amp;LEN(C200)&amp;")",IF(L200="","JMBG sadrži nešto što nije cifra",IF(N200="","Nepostojeći datum rođenja",IF(VALUE(MID(C200,13,1))&lt;&gt;L200,"Pogrešna kontrolna cifra - treba "&amp;L200,"✓ ispravan")))))</f>
        <v/>
      </c>
      <c r="K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L200">
        <f>IF(K200="","",IF(11-MOD(K200,11)&gt;9,0,11-MOD(K200,11)))</f>
        <v/>
      </c>
      <c r="M200">
        <f>IFERROR(IF(LEN(C200)&lt;&gt;13,"",IF(VALUE(MID(C200,5,3))&gt;=800,1000,2000)+VALUE(MID(C200,5,3))),"")</f>
        <v/>
      </c>
      <c r="N200">
        <f>IFERROR(IF(M200="","",IF(AND(DAY(DATE(M200,VALUE(MID(C200,3,2)),VALUE(MID(C200,1,2))))=VALUE(MID(C200,1,2)),MONTH(DATE(M200,VALUE(MID(C200,3,2)),VALUE(MID(C200,1,2))))=VALUE(MID(C200,3,2))),DATE(M200,VALUE(MID(C200,3,2)),VALUE(MID(C200,1,2))),"")),"")</f>
        <v/>
      </c>
    </row>
    <row r="201">
      <c r="A201" s="2" t="n"/>
      <c r="B201" s="2" t="n"/>
      <c r="C201" s="3" t="n"/>
      <c r="D201" s="2" t="n"/>
      <c r="E201" s="4">
        <f>IF(A201="","",5)</f>
        <v/>
      </c>
      <c r="F201" s="2" t="n"/>
      <c r="G201" s="4" t="n"/>
      <c r="H201" s="2" t="n"/>
      <c r="I201" s="2" t="n"/>
      <c r="J201" s="2">
        <f>IF(C201="","",IF(LEN(C201)&lt;&gt;13,"Nema 13 cifara (ima "&amp;LEN(C201)&amp;")",IF(L201="","JMBG sadrži nešto što nije cifra",IF(N201="","Nepostojeći datum rođenja",IF(VALUE(MID(C201,13,1))&lt;&gt;L201,"Pogrešna kontrolna cifra - treba "&amp;L201,"✓ ispravan")))))</f>
        <v/>
      </c>
      <c r="K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L201">
        <f>IF(K201="","",IF(11-MOD(K201,11)&gt;9,0,11-MOD(K201,11)))</f>
        <v/>
      </c>
      <c r="M201">
        <f>IFERROR(IF(LEN(C201)&lt;&gt;13,"",IF(VALUE(MID(C201,5,3))&gt;=800,1000,2000)+VALUE(MID(C201,5,3))),"")</f>
        <v/>
      </c>
      <c r="N201">
        <f>IFERROR(IF(M201="","",IF(AND(DAY(DATE(M201,VALUE(MID(C201,3,2)),VALUE(MID(C201,1,2))))=VALUE(MID(C201,1,2)),MONTH(DATE(M201,VALUE(MID(C201,3,2)),VALUE(MID(C201,1,2))))=VALUE(MID(C201,3,2))),DATE(M201,VALUE(MID(C201,3,2)),VALUE(MID(C201,1,2))),"")),"")</f>
        <v/>
      </c>
    </row>
  </sheetData>
  <autoFilter ref="A1:J201"/>
  <conditionalFormatting sqref="J2:J201">
    <cfRule type="expression" priority="1" dxfId="0" stopIfTrue="1">
      <formula>LEFT($J2,1)="✓"</formula>
    </cfRule>
    <cfRule type="expression" priority="2" dxfId="1">
      <formula>$J2&lt;&gt;""</formula>
    </cfRule>
  </conditionalFormatting>
  <conditionalFormatting sqref="G2:G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F201">
    <cfRule type="expression" priority="7" dxfId="3">
      <formula>$G2="GREŠKA"</formula>
    </cfRule>
    <cfRule type="expression" priority="8" dxfId="2">
      <formula>$G2="OK"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42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5" t="inlineStr">
        <is>
          <t>Kako se koristi ova tabela</t>
        </is>
      </c>
    </row>
    <row r="2">
      <c r="B2" t="inlineStr"/>
    </row>
    <row r="3">
      <c r="B3" s="6" t="inlineStr">
        <is>
          <t>0. Listovi</t>
        </is>
      </c>
    </row>
    <row r="4">
      <c r="B4" t="inlineStr">
        <is>
          <t>Po jedan list za svaki nalog: Danica, Mileta, Zorica.</t>
        </is>
      </c>
    </row>
    <row r="5">
      <c r="B5" t="inlineStr">
        <is>
          <t>Svako popunjava svoj list, pa se grupe ne mešaju i svako vidi samo svoje goste.</t>
        </is>
      </c>
    </row>
    <row r="6">
      <c r="B6" t="inlineStr">
        <is>
          <t>Nazivi listova su isti kao nalozi u padajućem meniju aplikacije.</t>
        </is>
      </c>
    </row>
    <row r="7">
      <c r="B7" t="inlineStr">
        <is>
          <t>List 'Primeri' su izmišljeni primeri - tu se vidi kako radi provera</t>
        </is>
      </c>
    </row>
    <row r="8">
      <c r="B8" t="inlineStr">
        <is>
          <t>JMBG-a. Radni listovi su namerno prazni.</t>
        </is>
      </c>
    </row>
    <row r="9">
      <c r="B9" t="inlineStr"/>
    </row>
    <row r="10">
      <c r="B10" s="6" t="inlineStr">
        <is>
          <t>1. Unos gostiju</t>
        </is>
      </c>
    </row>
    <row r="11">
      <c r="B11" t="inlineStr">
        <is>
          <t>Popunjavaj kolone A-F: Ime, Prezime, JMBG, Dolazak, Dana, E-mail.</t>
        </is>
      </c>
    </row>
    <row r="12">
      <c r="B12" t="inlineStr">
        <is>
          <t>JMBG kolona je formatirana kao TEKST - bez toga Excel pojede vodeću nulu kod</t>
        </is>
      </c>
    </row>
    <row r="13">
      <c r="B13" t="inlineStr">
        <is>
          <t>gostiju rođenih 1-9. u mesecu, pa umesto 13 ostane 12 cifara.</t>
        </is>
      </c>
    </row>
    <row r="14">
      <c r="B14" t="inlineStr">
        <is>
          <t>Dolazak piši kao 05.10 ili 05.10.2026 - oba se prepoznaju.</t>
        </is>
      </c>
    </row>
    <row r="15">
      <c r="B15" t="inlineStr">
        <is>
          <t>Dana se popunjava samo od sebe na 5; prekucaj ako je boravak duži.</t>
        </is>
      </c>
    </row>
    <row r="16">
      <c r="B16" t="inlineStr">
        <is>
          <t>E-mail popunjavaj samo za goste čiji vaučeri idu na drugu adresu nego ostali -</t>
        </is>
      </c>
    </row>
    <row r="17">
      <c r="B17" t="inlineStr">
        <is>
          <t>prazna ćelija znači adresu upisanu u aplikaciji. Po njoj se prave folderi sa vaučerima.</t>
        </is>
      </c>
    </row>
    <row r="18">
      <c r="B18" t="inlineStr">
        <is>
          <t>'5 dana' znači 5 noćenja: dolazak 05.10 -&gt; odlazak 10.10.</t>
        </is>
      </c>
    </row>
    <row r="19">
      <c r="B19" t="inlineStr"/>
    </row>
    <row r="20">
      <c r="B20" s="6" t="inlineStr">
        <is>
          <t>2. Provera JMBG-a (kolona J)</t>
        </is>
      </c>
    </row>
    <row r="21">
      <c r="B21" t="inlineStr">
        <is>
          <t>Računa se automatski, po zvaničnoj formuli za kontrolnu cifru.</t>
        </is>
      </c>
    </row>
    <row r="22">
      <c r="B22" t="inlineStr">
        <is>
          <t>Zeleno '✓ ispravan' znači da broj matematički može da postoji.</t>
        </is>
      </c>
    </row>
    <row r="23">
      <c r="B23" t="inlineStr">
        <is>
          <t>Crveno kaže tačno šta ne valja, npr. 'Pogrešna kontrolna cifra - treba 8'.</t>
        </is>
      </c>
    </row>
    <row r="24">
      <c r="B24" t="inlineStr">
        <is>
          <t>Kolone K-N su pomoćne (sakrivene) - služe samo formuli u koloni J. Ne diraj ih.</t>
        </is>
      </c>
    </row>
    <row r="25">
      <c r="B25" t="inlineStr"/>
    </row>
    <row r="26">
      <c r="B26" s="7" t="inlineStr">
        <is>
          <t>Provera hvata tipfelere, ali ne može da zna da li broj zaista pripada tom čoveku.</t>
        </is>
      </c>
    </row>
    <row r="27">
      <c r="B27" s="7" t="inlineStr">
        <is>
          <t>To utvrđuje tek portal - i to se posle vidi u koloni RAZLOG.</t>
        </is>
      </c>
    </row>
    <row r="28">
      <c r="B28" t="inlineStr"/>
    </row>
    <row r="29">
      <c r="B29" s="6" t="inlineStr">
        <is>
          <t>3. Slanje u aplikaciju</t>
        </is>
      </c>
    </row>
    <row r="30">
      <c r="B30" t="inlineStr">
        <is>
          <t>Označi kolone A-F za grupu gostiju koju prijavljuješ (5, 10, 30 - koliko hoćeš),</t>
        </is>
      </c>
    </row>
    <row r="31">
      <c r="B31" t="inlineStr">
        <is>
          <t>Ctrl+C, pa u aplikaciji Ctrl+V.</t>
        </is>
      </c>
    </row>
    <row r="32">
      <c r="B32" t="inlineStr"/>
    </row>
    <row r="33">
      <c r="B33" s="6" t="inlineStr">
        <is>
          <t>4. Vraćanje rezultata</t>
        </is>
      </c>
    </row>
    <row r="34">
      <c r="B34" t="inlineStr">
        <is>
          <t>Kad se tura završi, u aplikaciji Ctrl+C i ovde zalepi preko kolone A za te goste.</t>
        </is>
      </c>
    </row>
    <row r="35">
      <c r="B35" t="inlineStr">
        <is>
          <t>Popuniće se i G (STATUS), H (RAZLOG) i I (PDF). Bojenje je već podešeno:</t>
        </is>
      </c>
    </row>
    <row r="36">
      <c r="B36" t="inlineStr">
        <is>
          <t>OK = zeleno, GREŠKA = crveno, PRESKOČEN = sivo.</t>
        </is>
      </c>
    </row>
    <row r="37">
      <c r="B37" t="inlineStr">
        <is>
          <t>Kolone J-N su formule i ostaju netaknute jer su desno od zalepljenog.</t>
        </is>
      </c>
    </row>
    <row r="38">
      <c r="B38" t="inlineStr"/>
    </row>
    <row r="39">
      <c r="B39" s="6" t="inlineStr">
        <is>
          <t>Napomena</t>
        </is>
      </c>
    </row>
    <row r="40">
      <c r="B40" t="inlineStr">
        <is>
          <t>Na listu 'Primeri' su izmišljeni gosti - ne pripadaju nikome.</t>
        </is>
      </c>
    </row>
    <row r="41">
      <c r="B41" t="inlineStr">
        <is>
          <t>Poslednja dva su namerno pokvarena da se vidi kako provera reaguje:</t>
        </is>
      </c>
    </row>
    <row r="42">
      <c r="B42" t="inlineStr">
        <is>
          <t>jednom je pokvarena kontrolna cifra, drugom fali vodeća nula.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2026-07-28T09:31:09Z</dcterms:created>
  <dcterms:modified xsi:type="dcterms:W3CDTF">2026-07-28T09:31:10Z</dcterms:modified>
</cp:coreProperties>
</file>