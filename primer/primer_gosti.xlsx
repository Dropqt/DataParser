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osti" sheetId="1" state="visible" r:id="rId1"/>
    <sheet name="Uputstvo" sheetId="2" state="visible" r:id="rId2"/>
  </sheets>
  <definedNames>
    <definedName name="_xlnm._FilterDatabase" localSheetId="0" hidden="1">'Gosti'!$A$1:$H$201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FFFFFFFF"/>
    </font>
    <font>
      <b val="1"/>
      <sz val="15"/>
    </font>
    <font>
      <b val="1"/>
      <color rgb="FF44546A"/>
      <sz val="11"/>
    </font>
    <font>
      <i val="1"/>
      <color rgb="FF9C0006"/>
    </font>
  </fonts>
  <fills count="3">
    <fill>
      <patternFill/>
    </fill>
    <fill>
      <patternFill patternType="gray125"/>
    </fill>
    <fill>
      <patternFill patternType="solid">
        <fgColor rgb="FF44546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49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6"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E0E0E0"/>
        </patternFill>
      </fill>
    </dxf>
    <dxf>
      <fill>
        <patternFill patternType="solid">
          <fgColor rgb="FF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5" customWidth="1" min="3" max="3"/>
    <col width="20" customWidth="1" min="4" max="4"/>
    <col width="12" customWidth="1" min="5" max="5"/>
    <col width="38" customWidth="1" min="6" max="6"/>
    <col width="26" customWidth="1" min="7" max="7"/>
    <col width="34" customWidth="1" min="8" max="8"/>
    <col hidden="1" outlineLevel="1" width="8" customWidth="1" min="9" max="12"/>
  </cols>
  <sheetData>
    <row r="1">
      <c r="A1" s="1" t="inlineStr">
        <is>
          <t>Ime</t>
        </is>
      </c>
      <c r="B1" s="1" t="inlineStr">
        <is>
          <t>Prezime</t>
        </is>
      </c>
      <c r="C1" s="1" t="inlineStr">
        <is>
          <t>JMBG</t>
        </is>
      </c>
      <c r="D1" s="1" t="inlineStr">
        <is>
          <t>Datum</t>
        </is>
      </c>
      <c r="E1" s="1" t="inlineStr">
        <is>
          <t>STATUS</t>
        </is>
      </c>
      <c r="F1" s="1" t="inlineStr">
        <is>
          <t>RAZLOG</t>
        </is>
      </c>
      <c r="G1" s="1" t="inlineStr">
        <is>
          <t>PDF</t>
        </is>
      </c>
      <c r="H1" s="1" t="inlineStr">
        <is>
          <t>PROVERA JMBG</t>
        </is>
      </c>
      <c r="I1" s="1" t="inlineStr">
        <is>
          <t>zbir</t>
        </is>
      </c>
      <c r="J1" s="1" t="inlineStr">
        <is>
          <t>kontrolna</t>
        </is>
      </c>
      <c r="K1" s="1" t="inlineStr">
        <is>
          <t>godina</t>
        </is>
      </c>
      <c r="L1" s="1" t="inlineStr">
        <is>
          <t>dat.rođ.</t>
        </is>
      </c>
    </row>
    <row r="2">
      <c r="A2" s="2" t="inlineStr">
        <is>
          <t>Marko</t>
        </is>
      </c>
      <c r="B2" s="2" t="inlineStr">
        <is>
          <t>Petrović</t>
        </is>
      </c>
      <c r="C2" s="3" t="inlineStr">
        <is>
          <t>0101990710121</t>
        </is>
      </c>
      <c r="D2" s="2" t="inlineStr">
        <is>
          <t>05.10-10.10</t>
        </is>
      </c>
      <c r="E2" s="4" t="n"/>
      <c r="F2" s="2" t="n"/>
      <c r="G2" s="2" t="n"/>
      <c r="H2" s="2">
        <f>IF(C2="","",IF(LEN(C2)&lt;&gt;13,"Nema 13 cifara (ima "&amp;LEN(C2)&amp;")",IF(J2="","JMBG sadrži nešto što nije cifra",IF(L2="","Nepostojeći datum rođenja",IF(VALUE(MID(C2,13,1))&lt;&gt;J2,"Pogrešna kontrolna cifra — treba "&amp;J2,"✓ ispravan")))))</f>
        <v/>
      </c>
      <c r="I2">
        <f>IFERROR(IF(LEN(C2)&lt;&gt;13,"",7*(VALUE(MID(C2,1,1))+VALUE(MID(C2,7,1)))+6*(VALUE(MID(C2,2,1))+VALUE(MID(C2,8,1)))+5*(VALUE(MID(C2,3,1))+VALUE(MID(C2,9,1)))+4*(VALUE(MID(C2,4,1))+VALUE(MID(C2,10,1)))+3*(VALUE(MID(C2,5,1))+VALUE(MID(C2,11,1)))+2*(VALUE(MID(C2,6,1))+VALUE(MID(C2,12,1)))),"")</f>
        <v/>
      </c>
      <c r="J2">
        <f>IF(I2="","",IF(11-MOD(I2,11)&gt;9,0,11-MOD(I2,11)))</f>
        <v/>
      </c>
      <c r="K2">
        <f>IFERROR(IF(LEN(C2)&lt;&gt;13,"",IF(VALUE(MID(C2,5,3))&gt;=800,1000,2000)+VALUE(MID(C2,5,3))),"")</f>
        <v/>
      </c>
      <c r="L2">
        <f>IFERROR(IF(K2="","",IF(AND(DAY(DATE(K2,VALUE(MID(C2,3,2)),VALUE(MID(C2,1,2))))=VALUE(MID(C2,1,2)),MONTH(DATE(K2,VALUE(MID(C2,3,2)),VALUE(MID(C2,1,2))))=VALUE(MID(C2,3,2))),DATE(K2,VALUE(MID(C2,3,2)),VALUE(MID(C2,1,2))),"")),"")</f>
        <v/>
      </c>
    </row>
    <row r="3">
      <c r="A3" s="2" t="inlineStr">
        <is>
          <t>Ana</t>
        </is>
      </c>
      <c r="B3" s="2" t="inlineStr">
        <is>
          <t>Jovanović</t>
        </is>
      </c>
      <c r="C3" s="3" t="inlineStr">
        <is>
          <t>2307995755446</t>
        </is>
      </c>
      <c r="D3" s="2" t="inlineStr">
        <is>
          <t>05.10-10.10</t>
        </is>
      </c>
      <c r="E3" s="4" t="n"/>
      <c r="F3" s="2" t="n"/>
      <c r="G3" s="2" t="n"/>
      <c r="H3" s="2">
        <f>IF(C3="","",IF(LEN(C3)&lt;&gt;13,"Nema 13 cifara (ima "&amp;LEN(C3)&amp;")",IF(J3="","JMBG sadrži nešto što nije cifra",IF(L3="","Nepostojeći datum rođenja",IF(VALUE(MID(C3,13,1))&lt;&gt;J3,"Pogrešna kontrolna cifra — treba "&amp;J3,"✓ ispravan")))))</f>
        <v/>
      </c>
      <c r="I3">
        <f>IFERROR(IF(LEN(C3)&lt;&gt;13,"",7*(VALUE(MID(C3,1,1))+VALUE(MID(C3,7,1)))+6*(VALUE(MID(C3,2,1))+VALUE(MID(C3,8,1)))+5*(VALUE(MID(C3,3,1))+VALUE(MID(C3,9,1)))+4*(VALUE(MID(C3,4,1))+VALUE(MID(C3,10,1)))+3*(VALUE(MID(C3,5,1))+VALUE(MID(C3,11,1)))+2*(VALUE(MID(C3,6,1))+VALUE(MID(C3,12,1)))),"")</f>
        <v/>
      </c>
      <c r="J3">
        <f>IF(I3="","",IF(11-MOD(I3,11)&gt;9,0,11-MOD(I3,11)))</f>
        <v/>
      </c>
      <c r="K3">
        <f>IFERROR(IF(LEN(C3)&lt;&gt;13,"",IF(VALUE(MID(C3,5,3))&gt;=800,1000,2000)+VALUE(MID(C3,5,3))),"")</f>
        <v/>
      </c>
      <c r="L3">
        <f>IFERROR(IF(K3="","",IF(AND(DAY(DATE(K3,VALUE(MID(C3,3,2)),VALUE(MID(C3,1,2))))=VALUE(MID(C3,1,2)),MONTH(DATE(K3,VALUE(MID(C3,3,2)),VALUE(MID(C3,1,2))))=VALUE(MID(C3,3,2))),DATE(K3,VALUE(MID(C3,3,2)),VALUE(MID(C3,1,2))),"")),"")</f>
        <v/>
      </c>
    </row>
    <row r="4">
      <c r="A4" s="2" t="inlineStr">
        <is>
          <t>Jovan</t>
        </is>
      </c>
      <c r="B4" s="2" t="inlineStr">
        <is>
          <t>Ilić</t>
        </is>
      </c>
      <c r="C4" s="3" t="inlineStr">
        <is>
          <t>1503988710011</t>
        </is>
      </c>
      <c r="D4" s="2" t="inlineStr">
        <is>
          <t>06.10-12.10</t>
        </is>
      </c>
      <c r="E4" s="4" t="n"/>
      <c r="F4" s="2" t="n"/>
      <c r="G4" s="2" t="n"/>
      <c r="H4" s="2">
        <f>IF(C4="","",IF(LEN(C4)&lt;&gt;13,"Nema 13 cifara (ima "&amp;LEN(C4)&amp;")",IF(J4="","JMBG sadrži nešto što nije cifra",IF(L4="","Nepostojeći datum rođenja",IF(VALUE(MID(C4,13,1))&lt;&gt;J4,"Pogrešna kontrolna cifra — treba "&amp;J4,"✓ ispravan")))))</f>
        <v/>
      </c>
      <c r="I4">
        <f>IFERROR(IF(LEN(C4)&lt;&gt;13,"",7*(VALUE(MID(C4,1,1))+VALUE(MID(C4,7,1)))+6*(VALUE(MID(C4,2,1))+VALUE(MID(C4,8,1)))+5*(VALUE(MID(C4,3,1))+VALUE(MID(C4,9,1)))+4*(VALUE(MID(C4,4,1))+VALUE(MID(C4,10,1)))+3*(VALUE(MID(C4,5,1))+VALUE(MID(C4,11,1)))+2*(VALUE(MID(C4,6,1))+VALUE(MID(C4,12,1)))),"")</f>
        <v/>
      </c>
      <c r="J4">
        <f>IF(I4="","",IF(11-MOD(I4,11)&gt;9,0,11-MOD(I4,11)))</f>
        <v/>
      </c>
      <c r="K4">
        <f>IFERROR(IF(LEN(C4)&lt;&gt;13,"",IF(VALUE(MID(C4,5,3))&gt;=800,1000,2000)+VALUE(MID(C4,5,3))),"")</f>
        <v/>
      </c>
      <c r="L4">
        <f>IFERROR(IF(K4="","",IF(AND(DAY(DATE(K4,VALUE(MID(C4,3,2)),VALUE(MID(C4,1,2))))=VALUE(MID(C4,1,2)),MONTH(DATE(K4,VALUE(MID(C4,3,2)),VALUE(MID(C4,1,2))))=VALUE(MID(C4,3,2))),DATE(K4,VALUE(MID(C4,3,2)),VALUE(MID(C4,1,2))),"")),"")</f>
        <v/>
      </c>
    </row>
    <row r="5">
      <c r="A5" s="2" t="inlineStr">
        <is>
          <t>Nikola</t>
        </is>
      </c>
      <c r="B5" s="2" t="inlineStr">
        <is>
          <t>Đorđević</t>
        </is>
      </c>
      <c r="C5" s="3" t="inlineStr">
        <is>
          <t>1105992700122</t>
        </is>
      </c>
      <c r="D5" s="2" t="inlineStr">
        <is>
          <t>06.10-12.10</t>
        </is>
      </c>
      <c r="E5" s="4" t="n"/>
      <c r="F5" s="2" t="n"/>
      <c r="G5" s="2" t="n"/>
      <c r="H5" s="2">
        <f>IF(C5="","",IF(LEN(C5)&lt;&gt;13,"Nema 13 cifara (ima "&amp;LEN(C5)&amp;")",IF(J5="","JMBG sadrži nešto što nije cifra",IF(L5="","Nepostojeći datum rođenja",IF(VALUE(MID(C5,13,1))&lt;&gt;J5,"Pogrešna kontrolna cifra — treba "&amp;J5,"✓ ispravan")))))</f>
        <v/>
      </c>
      <c r="I5">
        <f>IFERROR(IF(LEN(C5)&lt;&gt;13,"",7*(VALUE(MID(C5,1,1))+VALUE(MID(C5,7,1)))+6*(VALUE(MID(C5,2,1))+VALUE(MID(C5,8,1)))+5*(VALUE(MID(C5,3,1))+VALUE(MID(C5,9,1)))+4*(VALUE(MID(C5,4,1))+VALUE(MID(C5,10,1)))+3*(VALUE(MID(C5,5,1))+VALUE(MID(C5,11,1)))+2*(VALUE(MID(C5,6,1))+VALUE(MID(C5,12,1)))),"")</f>
        <v/>
      </c>
      <c r="J5">
        <f>IF(I5="","",IF(11-MOD(I5,11)&gt;9,0,11-MOD(I5,11)))</f>
        <v/>
      </c>
      <c r="K5">
        <f>IFERROR(IF(LEN(C5)&lt;&gt;13,"",IF(VALUE(MID(C5,5,3))&gt;=800,1000,2000)+VALUE(MID(C5,5,3))),"")</f>
        <v/>
      </c>
      <c r="L5">
        <f>IFERROR(IF(K5="","",IF(AND(DAY(DATE(K5,VALUE(MID(C5,3,2)),VALUE(MID(C5,1,2))))=VALUE(MID(C5,1,2)),MONTH(DATE(K5,VALUE(MID(C5,3,2)),VALUE(MID(C5,1,2))))=VALUE(MID(C5,3,2))),DATE(K5,VALUE(MID(C5,3,2)),VALUE(MID(C5,1,2))),"")),"")</f>
        <v/>
      </c>
    </row>
    <row r="6">
      <c r="A6" s="2" t="inlineStr">
        <is>
          <t>Milica</t>
        </is>
      </c>
      <c r="B6" s="2" t="inlineStr">
        <is>
          <t>Marković</t>
        </is>
      </c>
      <c r="C6" s="3" t="inlineStr">
        <is>
          <t>2902004715056</t>
        </is>
      </c>
      <c r="D6" s="2" t="inlineStr">
        <is>
          <t>07.10-14.10</t>
        </is>
      </c>
      <c r="E6" s="4" t="n"/>
      <c r="F6" s="2" t="n"/>
      <c r="G6" s="2" t="n"/>
      <c r="H6" s="2">
        <f>IF(C6="","",IF(LEN(C6)&lt;&gt;13,"Nema 13 cifara (ima "&amp;LEN(C6)&amp;")",IF(J6="","JMBG sadrži nešto što nije cifra",IF(L6="","Nepostojeći datum rođenja",IF(VALUE(MID(C6,13,1))&lt;&gt;J6,"Pogrešna kontrolna cifra — treba "&amp;J6,"✓ ispravan")))))</f>
        <v/>
      </c>
      <c r="I6">
        <f>IFERROR(IF(LEN(C6)&lt;&gt;13,"",7*(VALUE(MID(C6,1,1))+VALUE(MID(C6,7,1)))+6*(VALUE(MID(C6,2,1))+VALUE(MID(C6,8,1)))+5*(VALUE(MID(C6,3,1))+VALUE(MID(C6,9,1)))+4*(VALUE(MID(C6,4,1))+VALUE(MID(C6,10,1)))+3*(VALUE(MID(C6,5,1))+VALUE(MID(C6,11,1)))+2*(VALUE(MID(C6,6,1))+VALUE(MID(C6,12,1)))),"")</f>
        <v/>
      </c>
      <c r="J6">
        <f>IF(I6="","",IF(11-MOD(I6,11)&gt;9,0,11-MOD(I6,11)))</f>
        <v/>
      </c>
      <c r="K6">
        <f>IFERROR(IF(LEN(C6)&lt;&gt;13,"",IF(VALUE(MID(C6,5,3))&gt;=800,1000,2000)+VALUE(MID(C6,5,3))),"")</f>
        <v/>
      </c>
      <c r="L6">
        <f>IFERROR(IF(K6="","",IF(AND(DAY(DATE(K6,VALUE(MID(C6,3,2)),VALUE(MID(C6,1,2))))=VALUE(MID(C6,1,2)),MONTH(DATE(K6,VALUE(MID(C6,3,2)),VALUE(MID(C6,1,2))))=VALUE(MID(C6,3,2))),DATE(K6,VALUE(MID(C6,3,2)),VALUE(MID(C6,1,2))),"")),"")</f>
        <v/>
      </c>
    </row>
    <row r="7">
      <c r="A7" s="2" t="inlineStr">
        <is>
          <t>Stefan</t>
        </is>
      </c>
      <c r="B7" s="2" t="inlineStr">
        <is>
          <t>Nikolić</t>
        </is>
      </c>
      <c r="C7" s="3" t="inlineStr">
        <is>
          <t>0703007710030</t>
        </is>
      </c>
      <c r="D7" s="2" t="inlineStr">
        <is>
          <t>07.10-14.10</t>
        </is>
      </c>
      <c r="E7" s="4" t="n"/>
      <c r="F7" s="2" t="n"/>
      <c r="G7" s="2" t="n"/>
      <c r="H7" s="2">
        <f>IF(C7="","",IF(LEN(C7)&lt;&gt;13,"Nema 13 cifara (ima "&amp;LEN(C7)&amp;")",IF(J7="","JMBG sadrži nešto što nije cifra",IF(L7="","Nepostojeći datum rođenja",IF(VALUE(MID(C7,13,1))&lt;&gt;J7,"Pogrešna kontrolna cifra — treba "&amp;J7,"✓ ispravan")))))</f>
        <v/>
      </c>
      <c r="I7">
        <f>IFERROR(IF(LEN(C7)&lt;&gt;13,"",7*(VALUE(MID(C7,1,1))+VALUE(MID(C7,7,1)))+6*(VALUE(MID(C7,2,1))+VALUE(MID(C7,8,1)))+5*(VALUE(MID(C7,3,1))+VALUE(MID(C7,9,1)))+4*(VALUE(MID(C7,4,1))+VALUE(MID(C7,10,1)))+3*(VALUE(MID(C7,5,1))+VALUE(MID(C7,11,1)))+2*(VALUE(MID(C7,6,1))+VALUE(MID(C7,12,1)))),"")</f>
        <v/>
      </c>
      <c r="J7">
        <f>IF(I7="","",IF(11-MOD(I7,11)&gt;9,0,11-MOD(I7,11)))</f>
        <v/>
      </c>
      <c r="K7">
        <f>IFERROR(IF(LEN(C7)&lt;&gt;13,"",IF(VALUE(MID(C7,5,3))&gt;=800,1000,2000)+VALUE(MID(C7,5,3))),"")</f>
        <v/>
      </c>
      <c r="L7">
        <f>IFERROR(IF(K7="","",IF(AND(DAY(DATE(K7,VALUE(MID(C7,3,2)),VALUE(MID(C7,1,2))))=VALUE(MID(C7,1,2)),MONTH(DATE(K7,VALUE(MID(C7,3,2)),VALUE(MID(C7,1,2))))=VALUE(MID(C7,3,2))),DATE(K7,VALUE(MID(C7,3,2)),VALUE(MID(C7,1,2))),"")),"")</f>
        <v/>
      </c>
    </row>
    <row r="8">
      <c r="A8" s="2" t="inlineStr">
        <is>
          <t>Jelena</t>
        </is>
      </c>
      <c r="B8" s="2" t="inlineStr">
        <is>
          <t>Simić</t>
        </is>
      </c>
      <c r="C8" s="3" t="inlineStr">
        <is>
          <t>306978755013</t>
        </is>
      </c>
      <c r="D8" s="2" t="inlineStr">
        <is>
          <t>08.10-15.10</t>
        </is>
      </c>
      <c r="E8" s="4" t="n"/>
      <c r="F8" s="2" t="n"/>
      <c r="G8" s="2" t="n"/>
      <c r="H8" s="2">
        <f>IF(C8="","",IF(LEN(C8)&lt;&gt;13,"Nema 13 cifara (ima "&amp;LEN(C8)&amp;")",IF(J8="","JMBG sadrži nešto što nije cifra",IF(L8="","Nepostojeći datum rođenja",IF(VALUE(MID(C8,13,1))&lt;&gt;J8,"Pogrešna kontrolna cifra — treba "&amp;J8,"✓ ispravan")))))</f>
        <v/>
      </c>
      <c r="I8">
        <f>IFERROR(IF(LEN(C8)&lt;&gt;13,"",7*(VALUE(MID(C8,1,1))+VALUE(MID(C8,7,1)))+6*(VALUE(MID(C8,2,1))+VALUE(MID(C8,8,1)))+5*(VALUE(MID(C8,3,1))+VALUE(MID(C8,9,1)))+4*(VALUE(MID(C8,4,1))+VALUE(MID(C8,10,1)))+3*(VALUE(MID(C8,5,1))+VALUE(MID(C8,11,1)))+2*(VALUE(MID(C8,6,1))+VALUE(MID(C8,12,1)))),"")</f>
        <v/>
      </c>
      <c r="J8">
        <f>IF(I8="","",IF(11-MOD(I8,11)&gt;9,0,11-MOD(I8,11)))</f>
        <v/>
      </c>
      <c r="K8">
        <f>IFERROR(IF(LEN(C8)&lt;&gt;13,"",IF(VALUE(MID(C8,5,3))&gt;=800,1000,2000)+VALUE(MID(C8,5,3))),"")</f>
        <v/>
      </c>
      <c r="L8">
        <f>IFERROR(IF(K8="","",IF(AND(DAY(DATE(K8,VALUE(MID(C8,3,2)),VALUE(MID(C8,1,2))))=VALUE(MID(C8,1,2)),MONTH(DATE(K8,VALUE(MID(C8,3,2)),VALUE(MID(C8,1,2))))=VALUE(MID(C8,3,2))),DATE(K8,VALUE(MID(C8,3,2)),VALUE(MID(C8,1,2))),"")),"")</f>
        <v/>
      </c>
    </row>
    <row r="9">
      <c r="A9" s="2" t="n"/>
      <c r="B9" s="2" t="n"/>
      <c r="C9" s="3" t="n"/>
      <c r="D9" s="2" t="n"/>
      <c r="E9" s="4" t="n"/>
      <c r="F9" s="2" t="n"/>
      <c r="G9" s="2" t="n"/>
      <c r="H9" s="2">
        <f>IF(C9="","",IF(LEN(C9)&lt;&gt;13,"Nema 13 cifara (ima "&amp;LEN(C9)&amp;")",IF(J9="","JMBG sadrži nešto što nije cifra",IF(L9="","Nepostojeći datum rođenja",IF(VALUE(MID(C9,13,1))&lt;&gt;J9,"Pogrešna kontrolna cifra — treba "&amp;J9,"✓ ispravan")))))</f>
        <v/>
      </c>
      <c r="I9">
        <f>IFERROR(IF(LEN(C9)&lt;&gt;13,"",7*(VALUE(MID(C9,1,1))+VALUE(MID(C9,7,1)))+6*(VALUE(MID(C9,2,1))+VALUE(MID(C9,8,1)))+5*(VALUE(MID(C9,3,1))+VALUE(MID(C9,9,1)))+4*(VALUE(MID(C9,4,1))+VALUE(MID(C9,10,1)))+3*(VALUE(MID(C9,5,1))+VALUE(MID(C9,11,1)))+2*(VALUE(MID(C9,6,1))+VALUE(MID(C9,12,1)))),"")</f>
        <v/>
      </c>
      <c r="J9">
        <f>IF(I9="","",IF(11-MOD(I9,11)&gt;9,0,11-MOD(I9,11)))</f>
        <v/>
      </c>
      <c r="K9">
        <f>IFERROR(IF(LEN(C9)&lt;&gt;13,"",IF(VALUE(MID(C9,5,3))&gt;=800,1000,2000)+VALUE(MID(C9,5,3))),"")</f>
        <v/>
      </c>
      <c r="L9">
        <f>IFERROR(IF(K9="","",IF(AND(DAY(DATE(K9,VALUE(MID(C9,3,2)),VALUE(MID(C9,1,2))))=VALUE(MID(C9,1,2)),MONTH(DATE(K9,VALUE(MID(C9,3,2)),VALUE(MID(C9,1,2))))=VALUE(MID(C9,3,2))),DATE(K9,VALUE(MID(C9,3,2)),VALUE(MID(C9,1,2))),"")),"")</f>
        <v/>
      </c>
    </row>
    <row r="10">
      <c r="A10" s="2" t="n"/>
      <c r="B10" s="2" t="n"/>
      <c r="C10" s="3" t="n"/>
      <c r="D10" s="2" t="n"/>
      <c r="E10" s="4" t="n"/>
      <c r="F10" s="2" t="n"/>
      <c r="G10" s="2" t="n"/>
      <c r="H10" s="2">
        <f>IF(C10="","",IF(LEN(C10)&lt;&gt;13,"Nema 13 cifara (ima "&amp;LEN(C10)&amp;")",IF(J10="","JMBG sadrži nešto što nije cifra",IF(L10="","Nepostojeći datum rođenja",IF(VALUE(MID(C10,13,1))&lt;&gt;J10,"Pogrešna kontrolna cifra — treba "&amp;J10,"✓ ispravan")))))</f>
        <v/>
      </c>
      <c r="I10">
        <f>IFERROR(IF(LEN(C10)&lt;&gt;13,"",7*(VALUE(MID(C10,1,1))+VALUE(MID(C10,7,1)))+6*(VALUE(MID(C10,2,1))+VALUE(MID(C10,8,1)))+5*(VALUE(MID(C10,3,1))+VALUE(MID(C10,9,1)))+4*(VALUE(MID(C10,4,1))+VALUE(MID(C10,10,1)))+3*(VALUE(MID(C10,5,1))+VALUE(MID(C10,11,1)))+2*(VALUE(MID(C10,6,1))+VALUE(MID(C10,12,1)))),"")</f>
        <v/>
      </c>
      <c r="J10">
        <f>IF(I10="","",IF(11-MOD(I10,11)&gt;9,0,11-MOD(I10,11)))</f>
        <v/>
      </c>
      <c r="K10">
        <f>IFERROR(IF(LEN(C10)&lt;&gt;13,"",IF(VALUE(MID(C10,5,3))&gt;=800,1000,2000)+VALUE(MID(C10,5,3))),"")</f>
        <v/>
      </c>
      <c r="L10">
        <f>IFERROR(IF(K10="","",IF(AND(DAY(DATE(K10,VALUE(MID(C10,3,2)),VALUE(MID(C10,1,2))))=VALUE(MID(C10,1,2)),MONTH(DATE(K10,VALUE(MID(C10,3,2)),VALUE(MID(C10,1,2))))=VALUE(MID(C10,3,2))),DATE(K10,VALUE(MID(C10,3,2)),VALUE(MID(C10,1,2))),"")),"")</f>
        <v/>
      </c>
    </row>
    <row r="11">
      <c r="A11" s="2" t="n"/>
      <c r="B11" s="2" t="n"/>
      <c r="C11" s="3" t="n"/>
      <c r="D11" s="2" t="n"/>
      <c r="E11" s="4" t="n"/>
      <c r="F11" s="2" t="n"/>
      <c r="G11" s="2" t="n"/>
      <c r="H11" s="2">
        <f>IF(C11="","",IF(LEN(C11)&lt;&gt;13,"Nema 13 cifara (ima "&amp;LEN(C11)&amp;")",IF(J11="","JMBG sadrži nešto što nije cifra",IF(L11="","Nepostojeći datum rođenja",IF(VALUE(MID(C11,13,1))&lt;&gt;J11,"Pogrešna kontrolna cifra — treba "&amp;J11,"✓ ispravan")))))</f>
        <v/>
      </c>
      <c r="I11">
        <f>IFERROR(IF(LEN(C11)&lt;&gt;13,"",7*(VALUE(MID(C11,1,1))+VALUE(MID(C11,7,1)))+6*(VALUE(MID(C11,2,1))+VALUE(MID(C11,8,1)))+5*(VALUE(MID(C11,3,1))+VALUE(MID(C11,9,1)))+4*(VALUE(MID(C11,4,1))+VALUE(MID(C11,10,1)))+3*(VALUE(MID(C11,5,1))+VALUE(MID(C11,11,1)))+2*(VALUE(MID(C11,6,1))+VALUE(MID(C11,12,1)))),"")</f>
        <v/>
      </c>
      <c r="J11">
        <f>IF(I11="","",IF(11-MOD(I11,11)&gt;9,0,11-MOD(I11,11)))</f>
        <v/>
      </c>
      <c r="K11">
        <f>IFERROR(IF(LEN(C11)&lt;&gt;13,"",IF(VALUE(MID(C11,5,3))&gt;=800,1000,2000)+VALUE(MID(C11,5,3))),"")</f>
        <v/>
      </c>
      <c r="L11">
        <f>IFERROR(IF(K11="","",IF(AND(DAY(DATE(K11,VALUE(MID(C11,3,2)),VALUE(MID(C11,1,2))))=VALUE(MID(C11,1,2)),MONTH(DATE(K11,VALUE(MID(C11,3,2)),VALUE(MID(C11,1,2))))=VALUE(MID(C11,3,2))),DATE(K11,VALUE(MID(C11,3,2)),VALUE(MID(C11,1,2))),"")),"")</f>
        <v/>
      </c>
    </row>
    <row r="12">
      <c r="A12" s="2" t="n"/>
      <c r="B12" s="2" t="n"/>
      <c r="C12" s="3" t="n"/>
      <c r="D12" s="2" t="n"/>
      <c r="E12" s="4" t="n"/>
      <c r="F12" s="2" t="n"/>
      <c r="G12" s="2" t="n"/>
      <c r="H12" s="2">
        <f>IF(C12="","",IF(LEN(C12)&lt;&gt;13,"Nema 13 cifara (ima "&amp;LEN(C12)&amp;")",IF(J12="","JMBG sadrži nešto što nije cifra",IF(L12="","Nepostojeći datum rođenja",IF(VALUE(MID(C12,13,1))&lt;&gt;J12,"Pogrešna kontrolna cifra — treba "&amp;J12,"✓ ispravan")))))</f>
        <v/>
      </c>
      <c r="I12">
        <f>IFERROR(IF(LEN(C12)&lt;&gt;13,"",7*(VALUE(MID(C12,1,1))+VALUE(MID(C12,7,1)))+6*(VALUE(MID(C12,2,1))+VALUE(MID(C12,8,1)))+5*(VALUE(MID(C12,3,1))+VALUE(MID(C12,9,1)))+4*(VALUE(MID(C12,4,1))+VALUE(MID(C12,10,1)))+3*(VALUE(MID(C12,5,1))+VALUE(MID(C12,11,1)))+2*(VALUE(MID(C12,6,1))+VALUE(MID(C12,12,1)))),"")</f>
        <v/>
      </c>
      <c r="J12">
        <f>IF(I12="","",IF(11-MOD(I12,11)&gt;9,0,11-MOD(I12,11)))</f>
        <v/>
      </c>
      <c r="K12">
        <f>IFERROR(IF(LEN(C12)&lt;&gt;13,"",IF(VALUE(MID(C12,5,3))&gt;=800,1000,2000)+VALUE(MID(C12,5,3))),"")</f>
        <v/>
      </c>
      <c r="L12">
        <f>IFERROR(IF(K12="","",IF(AND(DAY(DATE(K12,VALUE(MID(C12,3,2)),VALUE(MID(C12,1,2))))=VALUE(MID(C12,1,2)),MONTH(DATE(K12,VALUE(MID(C12,3,2)),VALUE(MID(C12,1,2))))=VALUE(MID(C12,3,2))),DATE(K12,VALUE(MID(C12,3,2)),VALUE(MID(C12,1,2))),"")),"")</f>
        <v/>
      </c>
    </row>
    <row r="13">
      <c r="A13" s="2" t="n"/>
      <c r="B13" s="2" t="n"/>
      <c r="C13" s="3" t="n"/>
      <c r="D13" s="2" t="n"/>
      <c r="E13" s="4" t="n"/>
      <c r="F13" s="2" t="n"/>
      <c r="G13" s="2" t="n"/>
      <c r="H13" s="2">
        <f>IF(C13="","",IF(LEN(C13)&lt;&gt;13,"Nema 13 cifara (ima "&amp;LEN(C13)&amp;")",IF(J13="","JMBG sadrži nešto što nije cifra",IF(L13="","Nepostojeći datum rođenja",IF(VALUE(MID(C13,13,1))&lt;&gt;J13,"Pogrešna kontrolna cifra — treba "&amp;J13,"✓ ispravan")))))</f>
        <v/>
      </c>
      <c r="I13">
        <f>IFERROR(IF(LEN(C13)&lt;&gt;13,"",7*(VALUE(MID(C13,1,1))+VALUE(MID(C13,7,1)))+6*(VALUE(MID(C13,2,1))+VALUE(MID(C13,8,1)))+5*(VALUE(MID(C13,3,1))+VALUE(MID(C13,9,1)))+4*(VALUE(MID(C13,4,1))+VALUE(MID(C13,10,1)))+3*(VALUE(MID(C13,5,1))+VALUE(MID(C13,11,1)))+2*(VALUE(MID(C13,6,1))+VALUE(MID(C13,12,1)))),"")</f>
        <v/>
      </c>
      <c r="J13">
        <f>IF(I13="","",IF(11-MOD(I13,11)&gt;9,0,11-MOD(I13,11)))</f>
        <v/>
      </c>
      <c r="K13">
        <f>IFERROR(IF(LEN(C13)&lt;&gt;13,"",IF(VALUE(MID(C13,5,3))&gt;=800,1000,2000)+VALUE(MID(C13,5,3))),"")</f>
        <v/>
      </c>
      <c r="L13">
        <f>IFERROR(IF(K13="","",IF(AND(DAY(DATE(K13,VALUE(MID(C13,3,2)),VALUE(MID(C13,1,2))))=VALUE(MID(C13,1,2)),MONTH(DATE(K13,VALUE(MID(C13,3,2)),VALUE(MID(C13,1,2))))=VALUE(MID(C13,3,2))),DATE(K13,VALUE(MID(C13,3,2)),VALUE(MID(C13,1,2))),"")),"")</f>
        <v/>
      </c>
    </row>
    <row r="14">
      <c r="A14" s="2" t="n"/>
      <c r="B14" s="2" t="n"/>
      <c r="C14" s="3" t="n"/>
      <c r="D14" s="2" t="n"/>
      <c r="E14" s="4" t="n"/>
      <c r="F14" s="2" t="n"/>
      <c r="G14" s="2" t="n"/>
      <c r="H14" s="2">
        <f>IF(C14="","",IF(LEN(C14)&lt;&gt;13,"Nema 13 cifara (ima "&amp;LEN(C14)&amp;")",IF(J14="","JMBG sadrži nešto što nije cifra",IF(L14="","Nepostojeći datum rođenja",IF(VALUE(MID(C14,13,1))&lt;&gt;J14,"Pogrešna kontrolna cifra — treba "&amp;J14,"✓ ispravan")))))</f>
        <v/>
      </c>
      <c r="I14">
        <f>IFERROR(IF(LEN(C14)&lt;&gt;13,"",7*(VALUE(MID(C14,1,1))+VALUE(MID(C14,7,1)))+6*(VALUE(MID(C14,2,1))+VALUE(MID(C14,8,1)))+5*(VALUE(MID(C14,3,1))+VALUE(MID(C14,9,1)))+4*(VALUE(MID(C14,4,1))+VALUE(MID(C14,10,1)))+3*(VALUE(MID(C14,5,1))+VALUE(MID(C14,11,1)))+2*(VALUE(MID(C14,6,1))+VALUE(MID(C14,12,1)))),"")</f>
        <v/>
      </c>
      <c r="J14">
        <f>IF(I14="","",IF(11-MOD(I14,11)&gt;9,0,11-MOD(I14,11)))</f>
        <v/>
      </c>
      <c r="K14">
        <f>IFERROR(IF(LEN(C14)&lt;&gt;13,"",IF(VALUE(MID(C14,5,3))&gt;=800,1000,2000)+VALUE(MID(C14,5,3))),"")</f>
        <v/>
      </c>
      <c r="L14">
        <f>IFERROR(IF(K14="","",IF(AND(DAY(DATE(K14,VALUE(MID(C14,3,2)),VALUE(MID(C14,1,2))))=VALUE(MID(C14,1,2)),MONTH(DATE(K14,VALUE(MID(C14,3,2)),VALUE(MID(C14,1,2))))=VALUE(MID(C14,3,2))),DATE(K14,VALUE(MID(C14,3,2)),VALUE(MID(C14,1,2))),"")),"")</f>
        <v/>
      </c>
    </row>
    <row r="15">
      <c r="A15" s="2" t="n"/>
      <c r="B15" s="2" t="n"/>
      <c r="C15" s="3" t="n"/>
      <c r="D15" s="2" t="n"/>
      <c r="E15" s="4" t="n"/>
      <c r="F15" s="2" t="n"/>
      <c r="G15" s="2" t="n"/>
      <c r="H15" s="2">
        <f>IF(C15="","",IF(LEN(C15)&lt;&gt;13,"Nema 13 cifara (ima "&amp;LEN(C15)&amp;")",IF(J15="","JMBG sadrži nešto što nije cifra",IF(L15="","Nepostojeći datum rođenja",IF(VALUE(MID(C15,13,1))&lt;&gt;J15,"Pogrešna kontrolna cifra — treba "&amp;J15,"✓ ispravan")))))</f>
        <v/>
      </c>
      <c r="I15">
        <f>IFERROR(IF(LEN(C15)&lt;&gt;13,"",7*(VALUE(MID(C15,1,1))+VALUE(MID(C15,7,1)))+6*(VALUE(MID(C15,2,1))+VALUE(MID(C15,8,1)))+5*(VALUE(MID(C15,3,1))+VALUE(MID(C15,9,1)))+4*(VALUE(MID(C15,4,1))+VALUE(MID(C15,10,1)))+3*(VALUE(MID(C15,5,1))+VALUE(MID(C15,11,1)))+2*(VALUE(MID(C15,6,1))+VALUE(MID(C15,12,1)))),"")</f>
        <v/>
      </c>
      <c r="J15">
        <f>IF(I15="","",IF(11-MOD(I15,11)&gt;9,0,11-MOD(I15,11)))</f>
        <v/>
      </c>
      <c r="K15">
        <f>IFERROR(IF(LEN(C15)&lt;&gt;13,"",IF(VALUE(MID(C15,5,3))&gt;=800,1000,2000)+VALUE(MID(C15,5,3))),"")</f>
        <v/>
      </c>
      <c r="L15">
        <f>IFERROR(IF(K15="","",IF(AND(DAY(DATE(K15,VALUE(MID(C15,3,2)),VALUE(MID(C15,1,2))))=VALUE(MID(C15,1,2)),MONTH(DATE(K15,VALUE(MID(C15,3,2)),VALUE(MID(C15,1,2))))=VALUE(MID(C15,3,2))),DATE(K15,VALUE(MID(C15,3,2)),VALUE(MID(C15,1,2))),"")),"")</f>
        <v/>
      </c>
    </row>
    <row r="16">
      <c r="A16" s="2" t="n"/>
      <c r="B16" s="2" t="n"/>
      <c r="C16" s="3" t="n"/>
      <c r="D16" s="2" t="n"/>
      <c r="E16" s="4" t="n"/>
      <c r="F16" s="2" t="n"/>
      <c r="G16" s="2" t="n"/>
      <c r="H16" s="2">
        <f>IF(C16="","",IF(LEN(C16)&lt;&gt;13,"Nema 13 cifara (ima "&amp;LEN(C16)&amp;")",IF(J16="","JMBG sadrži nešto što nije cifra",IF(L16="","Nepostojeći datum rođenja",IF(VALUE(MID(C16,13,1))&lt;&gt;J16,"Pogrešna kontrolna cifra — treba "&amp;J16,"✓ ispravan")))))</f>
        <v/>
      </c>
      <c r="I16">
        <f>IFERROR(IF(LEN(C16)&lt;&gt;13,"",7*(VALUE(MID(C16,1,1))+VALUE(MID(C16,7,1)))+6*(VALUE(MID(C16,2,1))+VALUE(MID(C16,8,1)))+5*(VALUE(MID(C16,3,1))+VALUE(MID(C16,9,1)))+4*(VALUE(MID(C16,4,1))+VALUE(MID(C16,10,1)))+3*(VALUE(MID(C16,5,1))+VALUE(MID(C16,11,1)))+2*(VALUE(MID(C16,6,1))+VALUE(MID(C16,12,1)))),"")</f>
        <v/>
      </c>
      <c r="J16">
        <f>IF(I16="","",IF(11-MOD(I16,11)&gt;9,0,11-MOD(I16,11)))</f>
        <v/>
      </c>
      <c r="K16">
        <f>IFERROR(IF(LEN(C16)&lt;&gt;13,"",IF(VALUE(MID(C16,5,3))&gt;=800,1000,2000)+VALUE(MID(C16,5,3))),"")</f>
        <v/>
      </c>
      <c r="L16">
        <f>IFERROR(IF(K16="","",IF(AND(DAY(DATE(K16,VALUE(MID(C16,3,2)),VALUE(MID(C16,1,2))))=VALUE(MID(C16,1,2)),MONTH(DATE(K16,VALUE(MID(C16,3,2)),VALUE(MID(C16,1,2))))=VALUE(MID(C16,3,2))),DATE(K16,VALUE(MID(C16,3,2)),VALUE(MID(C16,1,2))),"")),"")</f>
        <v/>
      </c>
    </row>
    <row r="17">
      <c r="A17" s="2" t="n"/>
      <c r="B17" s="2" t="n"/>
      <c r="C17" s="3" t="n"/>
      <c r="D17" s="2" t="n"/>
      <c r="E17" s="4" t="n"/>
      <c r="F17" s="2" t="n"/>
      <c r="G17" s="2" t="n"/>
      <c r="H17" s="2">
        <f>IF(C17="","",IF(LEN(C17)&lt;&gt;13,"Nema 13 cifara (ima "&amp;LEN(C17)&amp;")",IF(J17="","JMBG sadrži nešto što nije cifra",IF(L17="","Nepostojeći datum rođenja",IF(VALUE(MID(C17,13,1))&lt;&gt;J17,"Pogrešna kontrolna cifra — treba "&amp;J17,"✓ ispravan")))))</f>
        <v/>
      </c>
      <c r="I17">
        <f>IFERROR(IF(LEN(C17)&lt;&gt;13,"",7*(VALUE(MID(C17,1,1))+VALUE(MID(C17,7,1)))+6*(VALUE(MID(C17,2,1))+VALUE(MID(C17,8,1)))+5*(VALUE(MID(C17,3,1))+VALUE(MID(C17,9,1)))+4*(VALUE(MID(C17,4,1))+VALUE(MID(C17,10,1)))+3*(VALUE(MID(C17,5,1))+VALUE(MID(C17,11,1)))+2*(VALUE(MID(C17,6,1))+VALUE(MID(C17,12,1)))),"")</f>
        <v/>
      </c>
      <c r="J17">
        <f>IF(I17="","",IF(11-MOD(I17,11)&gt;9,0,11-MOD(I17,11)))</f>
        <v/>
      </c>
      <c r="K17">
        <f>IFERROR(IF(LEN(C17)&lt;&gt;13,"",IF(VALUE(MID(C17,5,3))&gt;=800,1000,2000)+VALUE(MID(C17,5,3))),"")</f>
        <v/>
      </c>
      <c r="L17">
        <f>IFERROR(IF(K17="","",IF(AND(DAY(DATE(K17,VALUE(MID(C17,3,2)),VALUE(MID(C17,1,2))))=VALUE(MID(C17,1,2)),MONTH(DATE(K17,VALUE(MID(C17,3,2)),VALUE(MID(C17,1,2))))=VALUE(MID(C17,3,2))),DATE(K17,VALUE(MID(C17,3,2)),VALUE(MID(C17,1,2))),"")),"")</f>
        <v/>
      </c>
    </row>
    <row r="18">
      <c r="A18" s="2" t="n"/>
      <c r="B18" s="2" t="n"/>
      <c r="C18" s="3" t="n"/>
      <c r="D18" s="2" t="n"/>
      <c r="E18" s="4" t="n"/>
      <c r="F18" s="2" t="n"/>
      <c r="G18" s="2" t="n"/>
      <c r="H18" s="2">
        <f>IF(C18="","",IF(LEN(C18)&lt;&gt;13,"Nema 13 cifara (ima "&amp;LEN(C18)&amp;")",IF(J18="","JMBG sadrži nešto što nije cifra",IF(L18="","Nepostojeći datum rođenja",IF(VALUE(MID(C18,13,1))&lt;&gt;J18,"Pogrešna kontrolna cifra — treba "&amp;J18,"✓ ispravan")))))</f>
        <v/>
      </c>
      <c r="I18">
        <f>IFERROR(IF(LEN(C18)&lt;&gt;13,"",7*(VALUE(MID(C18,1,1))+VALUE(MID(C18,7,1)))+6*(VALUE(MID(C18,2,1))+VALUE(MID(C18,8,1)))+5*(VALUE(MID(C18,3,1))+VALUE(MID(C18,9,1)))+4*(VALUE(MID(C18,4,1))+VALUE(MID(C18,10,1)))+3*(VALUE(MID(C18,5,1))+VALUE(MID(C18,11,1)))+2*(VALUE(MID(C18,6,1))+VALUE(MID(C18,12,1)))),"")</f>
        <v/>
      </c>
      <c r="J18">
        <f>IF(I18="","",IF(11-MOD(I18,11)&gt;9,0,11-MOD(I18,11)))</f>
        <v/>
      </c>
      <c r="K18">
        <f>IFERROR(IF(LEN(C18)&lt;&gt;13,"",IF(VALUE(MID(C18,5,3))&gt;=800,1000,2000)+VALUE(MID(C18,5,3))),"")</f>
        <v/>
      </c>
      <c r="L18">
        <f>IFERROR(IF(K18="","",IF(AND(DAY(DATE(K18,VALUE(MID(C18,3,2)),VALUE(MID(C18,1,2))))=VALUE(MID(C18,1,2)),MONTH(DATE(K18,VALUE(MID(C18,3,2)),VALUE(MID(C18,1,2))))=VALUE(MID(C18,3,2))),DATE(K18,VALUE(MID(C18,3,2)),VALUE(MID(C18,1,2))),"")),"")</f>
        <v/>
      </c>
    </row>
    <row r="19">
      <c r="A19" s="2" t="n"/>
      <c r="B19" s="2" t="n"/>
      <c r="C19" s="3" t="n"/>
      <c r="D19" s="2" t="n"/>
      <c r="E19" s="4" t="n"/>
      <c r="F19" s="2" t="n"/>
      <c r="G19" s="2" t="n"/>
      <c r="H19" s="2">
        <f>IF(C19="","",IF(LEN(C19)&lt;&gt;13,"Nema 13 cifara (ima "&amp;LEN(C19)&amp;")",IF(J19="","JMBG sadrži nešto što nije cifra",IF(L19="","Nepostojeći datum rođenja",IF(VALUE(MID(C19,13,1))&lt;&gt;J19,"Pogrešna kontrolna cifra — treba "&amp;J19,"✓ ispravan")))))</f>
        <v/>
      </c>
      <c r="I19">
        <f>IFERROR(IF(LEN(C19)&lt;&gt;13,"",7*(VALUE(MID(C19,1,1))+VALUE(MID(C19,7,1)))+6*(VALUE(MID(C19,2,1))+VALUE(MID(C19,8,1)))+5*(VALUE(MID(C19,3,1))+VALUE(MID(C19,9,1)))+4*(VALUE(MID(C19,4,1))+VALUE(MID(C19,10,1)))+3*(VALUE(MID(C19,5,1))+VALUE(MID(C19,11,1)))+2*(VALUE(MID(C19,6,1))+VALUE(MID(C19,12,1)))),"")</f>
        <v/>
      </c>
      <c r="J19">
        <f>IF(I19="","",IF(11-MOD(I19,11)&gt;9,0,11-MOD(I19,11)))</f>
        <v/>
      </c>
      <c r="K19">
        <f>IFERROR(IF(LEN(C19)&lt;&gt;13,"",IF(VALUE(MID(C19,5,3))&gt;=800,1000,2000)+VALUE(MID(C19,5,3))),"")</f>
        <v/>
      </c>
      <c r="L19">
        <f>IFERROR(IF(K19="","",IF(AND(DAY(DATE(K19,VALUE(MID(C19,3,2)),VALUE(MID(C19,1,2))))=VALUE(MID(C19,1,2)),MONTH(DATE(K19,VALUE(MID(C19,3,2)),VALUE(MID(C19,1,2))))=VALUE(MID(C19,3,2))),DATE(K19,VALUE(MID(C19,3,2)),VALUE(MID(C19,1,2))),"")),"")</f>
        <v/>
      </c>
    </row>
    <row r="20">
      <c r="A20" s="2" t="n"/>
      <c r="B20" s="2" t="n"/>
      <c r="C20" s="3" t="n"/>
      <c r="D20" s="2" t="n"/>
      <c r="E20" s="4" t="n"/>
      <c r="F20" s="2" t="n"/>
      <c r="G20" s="2" t="n"/>
      <c r="H20" s="2">
        <f>IF(C20="","",IF(LEN(C20)&lt;&gt;13,"Nema 13 cifara (ima "&amp;LEN(C20)&amp;")",IF(J20="","JMBG sadrži nešto što nije cifra",IF(L20="","Nepostojeći datum rođenja",IF(VALUE(MID(C20,13,1))&lt;&gt;J20,"Pogrešna kontrolna cifra — treba "&amp;J20,"✓ ispravan")))))</f>
        <v/>
      </c>
      <c r="I20">
        <f>IFERROR(IF(LEN(C20)&lt;&gt;13,"",7*(VALUE(MID(C20,1,1))+VALUE(MID(C20,7,1)))+6*(VALUE(MID(C20,2,1))+VALUE(MID(C20,8,1)))+5*(VALUE(MID(C20,3,1))+VALUE(MID(C20,9,1)))+4*(VALUE(MID(C20,4,1))+VALUE(MID(C20,10,1)))+3*(VALUE(MID(C20,5,1))+VALUE(MID(C20,11,1)))+2*(VALUE(MID(C20,6,1))+VALUE(MID(C20,12,1)))),"")</f>
        <v/>
      </c>
      <c r="J20">
        <f>IF(I20="","",IF(11-MOD(I20,11)&gt;9,0,11-MOD(I20,11)))</f>
        <v/>
      </c>
      <c r="K20">
        <f>IFERROR(IF(LEN(C20)&lt;&gt;13,"",IF(VALUE(MID(C20,5,3))&gt;=800,1000,2000)+VALUE(MID(C20,5,3))),"")</f>
        <v/>
      </c>
      <c r="L20">
        <f>IFERROR(IF(K20="","",IF(AND(DAY(DATE(K20,VALUE(MID(C20,3,2)),VALUE(MID(C20,1,2))))=VALUE(MID(C20,1,2)),MONTH(DATE(K20,VALUE(MID(C20,3,2)),VALUE(MID(C20,1,2))))=VALUE(MID(C20,3,2))),DATE(K20,VALUE(MID(C20,3,2)),VALUE(MID(C20,1,2))),"")),"")</f>
        <v/>
      </c>
    </row>
    <row r="21">
      <c r="A21" s="2" t="n"/>
      <c r="B21" s="2" t="n"/>
      <c r="C21" s="3" t="n"/>
      <c r="D21" s="2" t="n"/>
      <c r="E21" s="4" t="n"/>
      <c r="F21" s="2" t="n"/>
      <c r="G21" s="2" t="n"/>
      <c r="H21" s="2">
        <f>IF(C21="","",IF(LEN(C21)&lt;&gt;13,"Nema 13 cifara (ima "&amp;LEN(C21)&amp;")",IF(J21="","JMBG sadrži nešto što nije cifra",IF(L21="","Nepostojeći datum rođenja",IF(VALUE(MID(C21,13,1))&lt;&gt;J21,"Pogrešna kontrolna cifra — treba "&amp;J21,"✓ ispravan")))))</f>
        <v/>
      </c>
      <c r="I21">
        <f>IFERROR(IF(LEN(C21)&lt;&gt;13,"",7*(VALUE(MID(C21,1,1))+VALUE(MID(C21,7,1)))+6*(VALUE(MID(C21,2,1))+VALUE(MID(C21,8,1)))+5*(VALUE(MID(C21,3,1))+VALUE(MID(C21,9,1)))+4*(VALUE(MID(C21,4,1))+VALUE(MID(C21,10,1)))+3*(VALUE(MID(C21,5,1))+VALUE(MID(C21,11,1)))+2*(VALUE(MID(C21,6,1))+VALUE(MID(C21,12,1)))),"")</f>
        <v/>
      </c>
      <c r="J21">
        <f>IF(I21="","",IF(11-MOD(I21,11)&gt;9,0,11-MOD(I21,11)))</f>
        <v/>
      </c>
      <c r="K21">
        <f>IFERROR(IF(LEN(C21)&lt;&gt;13,"",IF(VALUE(MID(C21,5,3))&gt;=800,1000,2000)+VALUE(MID(C21,5,3))),"")</f>
        <v/>
      </c>
      <c r="L21">
        <f>IFERROR(IF(K21="","",IF(AND(DAY(DATE(K21,VALUE(MID(C21,3,2)),VALUE(MID(C21,1,2))))=VALUE(MID(C21,1,2)),MONTH(DATE(K21,VALUE(MID(C21,3,2)),VALUE(MID(C21,1,2))))=VALUE(MID(C21,3,2))),DATE(K21,VALUE(MID(C21,3,2)),VALUE(MID(C21,1,2))),"")),"")</f>
        <v/>
      </c>
    </row>
    <row r="22">
      <c r="A22" s="2" t="n"/>
      <c r="B22" s="2" t="n"/>
      <c r="C22" s="3" t="n"/>
      <c r="D22" s="2" t="n"/>
      <c r="E22" s="4" t="n"/>
      <c r="F22" s="2" t="n"/>
      <c r="G22" s="2" t="n"/>
      <c r="H22" s="2">
        <f>IF(C22="","",IF(LEN(C22)&lt;&gt;13,"Nema 13 cifara (ima "&amp;LEN(C22)&amp;")",IF(J22="","JMBG sadrži nešto što nije cifra",IF(L22="","Nepostojeći datum rođenja",IF(VALUE(MID(C22,13,1))&lt;&gt;J22,"Pogrešna kontrolna cifra — treba "&amp;J22,"✓ ispravan")))))</f>
        <v/>
      </c>
      <c r="I22">
        <f>IFERROR(IF(LEN(C22)&lt;&gt;13,"",7*(VALUE(MID(C22,1,1))+VALUE(MID(C22,7,1)))+6*(VALUE(MID(C22,2,1))+VALUE(MID(C22,8,1)))+5*(VALUE(MID(C22,3,1))+VALUE(MID(C22,9,1)))+4*(VALUE(MID(C22,4,1))+VALUE(MID(C22,10,1)))+3*(VALUE(MID(C22,5,1))+VALUE(MID(C22,11,1)))+2*(VALUE(MID(C22,6,1))+VALUE(MID(C22,12,1)))),"")</f>
        <v/>
      </c>
      <c r="J22">
        <f>IF(I22="","",IF(11-MOD(I22,11)&gt;9,0,11-MOD(I22,11)))</f>
        <v/>
      </c>
      <c r="K22">
        <f>IFERROR(IF(LEN(C22)&lt;&gt;13,"",IF(VALUE(MID(C22,5,3))&gt;=800,1000,2000)+VALUE(MID(C22,5,3))),"")</f>
        <v/>
      </c>
      <c r="L22">
        <f>IFERROR(IF(K22="","",IF(AND(DAY(DATE(K22,VALUE(MID(C22,3,2)),VALUE(MID(C22,1,2))))=VALUE(MID(C22,1,2)),MONTH(DATE(K22,VALUE(MID(C22,3,2)),VALUE(MID(C22,1,2))))=VALUE(MID(C22,3,2))),DATE(K22,VALUE(MID(C22,3,2)),VALUE(MID(C22,1,2))),"")),"")</f>
        <v/>
      </c>
    </row>
    <row r="23">
      <c r="A23" s="2" t="n"/>
      <c r="B23" s="2" t="n"/>
      <c r="C23" s="3" t="n"/>
      <c r="D23" s="2" t="n"/>
      <c r="E23" s="4" t="n"/>
      <c r="F23" s="2" t="n"/>
      <c r="G23" s="2" t="n"/>
      <c r="H23" s="2">
        <f>IF(C23="","",IF(LEN(C23)&lt;&gt;13,"Nema 13 cifara (ima "&amp;LEN(C23)&amp;")",IF(J23="","JMBG sadrži nešto što nije cifra",IF(L23="","Nepostojeći datum rođenja",IF(VALUE(MID(C23,13,1))&lt;&gt;J23,"Pogrešna kontrolna cifra — treba "&amp;J23,"✓ ispravan")))))</f>
        <v/>
      </c>
      <c r="I23">
        <f>IFERROR(IF(LEN(C23)&lt;&gt;13,"",7*(VALUE(MID(C23,1,1))+VALUE(MID(C23,7,1)))+6*(VALUE(MID(C23,2,1))+VALUE(MID(C23,8,1)))+5*(VALUE(MID(C23,3,1))+VALUE(MID(C23,9,1)))+4*(VALUE(MID(C23,4,1))+VALUE(MID(C23,10,1)))+3*(VALUE(MID(C23,5,1))+VALUE(MID(C23,11,1)))+2*(VALUE(MID(C23,6,1))+VALUE(MID(C23,12,1)))),"")</f>
        <v/>
      </c>
      <c r="J23">
        <f>IF(I23="","",IF(11-MOD(I23,11)&gt;9,0,11-MOD(I23,11)))</f>
        <v/>
      </c>
      <c r="K23">
        <f>IFERROR(IF(LEN(C23)&lt;&gt;13,"",IF(VALUE(MID(C23,5,3))&gt;=800,1000,2000)+VALUE(MID(C23,5,3))),"")</f>
        <v/>
      </c>
      <c r="L23">
        <f>IFERROR(IF(K23="","",IF(AND(DAY(DATE(K23,VALUE(MID(C23,3,2)),VALUE(MID(C23,1,2))))=VALUE(MID(C23,1,2)),MONTH(DATE(K23,VALUE(MID(C23,3,2)),VALUE(MID(C23,1,2))))=VALUE(MID(C23,3,2))),DATE(K23,VALUE(MID(C23,3,2)),VALUE(MID(C23,1,2))),"")),"")</f>
        <v/>
      </c>
    </row>
    <row r="24">
      <c r="A24" s="2" t="n"/>
      <c r="B24" s="2" t="n"/>
      <c r="C24" s="3" t="n"/>
      <c r="D24" s="2" t="n"/>
      <c r="E24" s="4" t="n"/>
      <c r="F24" s="2" t="n"/>
      <c r="G24" s="2" t="n"/>
      <c r="H24" s="2">
        <f>IF(C24="","",IF(LEN(C24)&lt;&gt;13,"Nema 13 cifara (ima "&amp;LEN(C24)&amp;")",IF(J24="","JMBG sadrži nešto što nije cifra",IF(L24="","Nepostojeći datum rođenja",IF(VALUE(MID(C24,13,1))&lt;&gt;J24,"Pogrešna kontrolna cifra — treba "&amp;J24,"✓ ispravan")))))</f>
        <v/>
      </c>
      <c r="I24">
        <f>IFERROR(IF(LEN(C24)&lt;&gt;13,"",7*(VALUE(MID(C24,1,1))+VALUE(MID(C24,7,1)))+6*(VALUE(MID(C24,2,1))+VALUE(MID(C24,8,1)))+5*(VALUE(MID(C24,3,1))+VALUE(MID(C24,9,1)))+4*(VALUE(MID(C24,4,1))+VALUE(MID(C24,10,1)))+3*(VALUE(MID(C24,5,1))+VALUE(MID(C24,11,1)))+2*(VALUE(MID(C24,6,1))+VALUE(MID(C24,12,1)))),"")</f>
        <v/>
      </c>
      <c r="J24">
        <f>IF(I24="","",IF(11-MOD(I24,11)&gt;9,0,11-MOD(I24,11)))</f>
        <v/>
      </c>
      <c r="K24">
        <f>IFERROR(IF(LEN(C24)&lt;&gt;13,"",IF(VALUE(MID(C24,5,3))&gt;=800,1000,2000)+VALUE(MID(C24,5,3))),"")</f>
        <v/>
      </c>
      <c r="L24">
        <f>IFERROR(IF(K24="","",IF(AND(DAY(DATE(K24,VALUE(MID(C24,3,2)),VALUE(MID(C24,1,2))))=VALUE(MID(C24,1,2)),MONTH(DATE(K24,VALUE(MID(C24,3,2)),VALUE(MID(C24,1,2))))=VALUE(MID(C24,3,2))),DATE(K24,VALUE(MID(C24,3,2)),VALUE(MID(C24,1,2))),"")),"")</f>
        <v/>
      </c>
    </row>
    <row r="25">
      <c r="A25" s="2" t="n"/>
      <c r="B25" s="2" t="n"/>
      <c r="C25" s="3" t="n"/>
      <c r="D25" s="2" t="n"/>
      <c r="E25" s="4" t="n"/>
      <c r="F25" s="2" t="n"/>
      <c r="G25" s="2" t="n"/>
      <c r="H25" s="2">
        <f>IF(C25="","",IF(LEN(C25)&lt;&gt;13,"Nema 13 cifara (ima "&amp;LEN(C25)&amp;")",IF(J25="","JMBG sadrži nešto što nije cifra",IF(L25="","Nepostojeći datum rođenja",IF(VALUE(MID(C25,13,1))&lt;&gt;J25,"Pogrešna kontrolna cifra — treba "&amp;J25,"✓ ispravan")))))</f>
        <v/>
      </c>
      <c r="I25">
        <f>IFERROR(IF(LEN(C25)&lt;&gt;13,"",7*(VALUE(MID(C25,1,1))+VALUE(MID(C25,7,1)))+6*(VALUE(MID(C25,2,1))+VALUE(MID(C25,8,1)))+5*(VALUE(MID(C25,3,1))+VALUE(MID(C25,9,1)))+4*(VALUE(MID(C25,4,1))+VALUE(MID(C25,10,1)))+3*(VALUE(MID(C25,5,1))+VALUE(MID(C25,11,1)))+2*(VALUE(MID(C25,6,1))+VALUE(MID(C25,12,1)))),"")</f>
        <v/>
      </c>
      <c r="J25">
        <f>IF(I25="","",IF(11-MOD(I25,11)&gt;9,0,11-MOD(I25,11)))</f>
        <v/>
      </c>
      <c r="K25">
        <f>IFERROR(IF(LEN(C25)&lt;&gt;13,"",IF(VALUE(MID(C25,5,3))&gt;=800,1000,2000)+VALUE(MID(C25,5,3))),"")</f>
        <v/>
      </c>
      <c r="L25">
        <f>IFERROR(IF(K25="","",IF(AND(DAY(DATE(K25,VALUE(MID(C25,3,2)),VALUE(MID(C25,1,2))))=VALUE(MID(C25,1,2)),MONTH(DATE(K25,VALUE(MID(C25,3,2)),VALUE(MID(C25,1,2))))=VALUE(MID(C25,3,2))),DATE(K25,VALUE(MID(C25,3,2)),VALUE(MID(C25,1,2))),"")),"")</f>
        <v/>
      </c>
    </row>
    <row r="26">
      <c r="A26" s="2" t="n"/>
      <c r="B26" s="2" t="n"/>
      <c r="C26" s="3" t="n"/>
      <c r="D26" s="2" t="n"/>
      <c r="E26" s="4" t="n"/>
      <c r="F26" s="2" t="n"/>
      <c r="G26" s="2" t="n"/>
      <c r="H26" s="2">
        <f>IF(C26="","",IF(LEN(C26)&lt;&gt;13,"Nema 13 cifara (ima "&amp;LEN(C26)&amp;")",IF(J26="","JMBG sadrži nešto što nije cifra",IF(L26="","Nepostojeći datum rođenja",IF(VALUE(MID(C26,13,1))&lt;&gt;J26,"Pogrešna kontrolna cifra — treba "&amp;J26,"✓ ispravan")))))</f>
        <v/>
      </c>
      <c r="I26">
        <f>IFERROR(IF(LEN(C26)&lt;&gt;13,"",7*(VALUE(MID(C26,1,1))+VALUE(MID(C26,7,1)))+6*(VALUE(MID(C26,2,1))+VALUE(MID(C26,8,1)))+5*(VALUE(MID(C26,3,1))+VALUE(MID(C26,9,1)))+4*(VALUE(MID(C26,4,1))+VALUE(MID(C26,10,1)))+3*(VALUE(MID(C26,5,1))+VALUE(MID(C26,11,1)))+2*(VALUE(MID(C26,6,1))+VALUE(MID(C26,12,1)))),"")</f>
        <v/>
      </c>
      <c r="J26">
        <f>IF(I26="","",IF(11-MOD(I26,11)&gt;9,0,11-MOD(I26,11)))</f>
        <v/>
      </c>
      <c r="K26">
        <f>IFERROR(IF(LEN(C26)&lt;&gt;13,"",IF(VALUE(MID(C26,5,3))&gt;=800,1000,2000)+VALUE(MID(C26,5,3))),"")</f>
        <v/>
      </c>
      <c r="L26">
        <f>IFERROR(IF(K26="","",IF(AND(DAY(DATE(K26,VALUE(MID(C26,3,2)),VALUE(MID(C26,1,2))))=VALUE(MID(C26,1,2)),MONTH(DATE(K26,VALUE(MID(C26,3,2)),VALUE(MID(C26,1,2))))=VALUE(MID(C26,3,2))),DATE(K26,VALUE(MID(C26,3,2)),VALUE(MID(C26,1,2))),"")),"")</f>
        <v/>
      </c>
    </row>
    <row r="27">
      <c r="A27" s="2" t="n"/>
      <c r="B27" s="2" t="n"/>
      <c r="C27" s="3" t="n"/>
      <c r="D27" s="2" t="n"/>
      <c r="E27" s="4" t="n"/>
      <c r="F27" s="2" t="n"/>
      <c r="G27" s="2" t="n"/>
      <c r="H27" s="2">
        <f>IF(C27="","",IF(LEN(C27)&lt;&gt;13,"Nema 13 cifara (ima "&amp;LEN(C27)&amp;")",IF(J27="","JMBG sadrži nešto što nije cifra",IF(L27="","Nepostojeći datum rođenja",IF(VALUE(MID(C27,13,1))&lt;&gt;J27,"Pogrešna kontrolna cifra — treba "&amp;J27,"✓ ispravan")))))</f>
        <v/>
      </c>
      <c r="I27">
        <f>IFERROR(IF(LEN(C27)&lt;&gt;13,"",7*(VALUE(MID(C27,1,1))+VALUE(MID(C27,7,1)))+6*(VALUE(MID(C27,2,1))+VALUE(MID(C27,8,1)))+5*(VALUE(MID(C27,3,1))+VALUE(MID(C27,9,1)))+4*(VALUE(MID(C27,4,1))+VALUE(MID(C27,10,1)))+3*(VALUE(MID(C27,5,1))+VALUE(MID(C27,11,1)))+2*(VALUE(MID(C27,6,1))+VALUE(MID(C27,12,1)))),"")</f>
        <v/>
      </c>
      <c r="J27">
        <f>IF(I27="","",IF(11-MOD(I27,11)&gt;9,0,11-MOD(I27,11)))</f>
        <v/>
      </c>
      <c r="K27">
        <f>IFERROR(IF(LEN(C27)&lt;&gt;13,"",IF(VALUE(MID(C27,5,3))&gt;=800,1000,2000)+VALUE(MID(C27,5,3))),"")</f>
        <v/>
      </c>
      <c r="L27">
        <f>IFERROR(IF(K27="","",IF(AND(DAY(DATE(K27,VALUE(MID(C27,3,2)),VALUE(MID(C27,1,2))))=VALUE(MID(C27,1,2)),MONTH(DATE(K27,VALUE(MID(C27,3,2)),VALUE(MID(C27,1,2))))=VALUE(MID(C27,3,2))),DATE(K27,VALUE(MID(C27,3,2)),VALUE(MID(C27,1,2))),"")),"")</f>
        <v/>
      </c>
    </row>
    <row r="28">
      <c r="A28" s="2" t="n"/>
      <c r="B28" s="2" t="n"/>
      <c r="C28" s="3" t="n"/>
      <c r="D28" s="2" t="n"/>
      <c r="E28" s="4" t="n"/>
      <c r="F28" s="2" t="n"/>
      <c r="G28" s="2" t="n"/>
      <c r="H28" s="2">
        <f>IF(C28="","",IF(LEN(C28)&lt;&gt;13,"Nema 13 cifara (ima "&amp;LEN(C28)&amp;")",IF(J28="","JMBG sadrži nešto što nije cifra",IF(L28="","Nepostojeći datum rođenja",IF(VALUE(MID(C28,13,1))&lt;&gt;J28,"Pogrešna kontrolna cifra — treba "&amp;J28,"✓ ispravan")))))</f>
        <v/>
      </c>
      <c r="I28">
        <f>IFERROR(IF(LEN(C28)&lt;&gt;13,"",7*(VALUE(MID(C28,1,1))+VALUE(MID(C28,7,1)))+6*(VALUE(MID(C28,2,1))+VALUE(MID(C28,8,1)))+5*(VALUE(MID(C28,3,1))+VALUE(MID(C28,9,1)))+4*(VALUE(MID(C28,4,1))+VALUE(MID(C28,10,1)))+3*(VALUE(MID(C28,5,1))+VALUE(MID(C28,11,1)))+2*(VALUE(MID(C28,6,1))+VALUE(MID(C28,12,1)))),"")</f>
        <v/>
      </c>
      <c r="J28">
        <f>IF(I28="","",IF(11-MOD(I28,11)&gt;9,0,11-MOD(I28,11)))</f>
        <v/>
      </c>
      <c r="K28">
        <f>IFERROR(IF(LEN(C28)&lt;&gt;13,"",IF(VALUE(MID(C28,5,3))&gt;=800,1000,2000)+VALUE(MID(C28,5,3))),"")</f>
        <v/>
      </c>
      <c r="L28">
        <f>IFERROR(IF(K28="","",IF(AND(DAY(DATE(K28,VALUE(MID(C28,3,2)),VALUE(MID(C28,1,2))))=VALUE(MID(C28,1,2)),MONTH(DATE(K28,VALUE(MID(C28,3,2)),VALUE(MID(C28,1,2))))=VALUE(MID(C28,3,2))),DATE(K28,VALUE(MID(C28,3,2)),VALUE(MID(C28,1,2))),"")),"")</f>
        <v/>
      </c>
    </row>
    <row r="29">
      <c r="A29" s="2" t="n"/>
      <c r="B29" s="2" t="n"/>
      <c r="C29" s="3" t="n"/>
      <c r="D29" s="2" t="n"/>
      <c r="E29" s="4" t="n"/>
      <c r="F29" s="2" t="n"/>
      <c r="G29" s="2" t="n"/>
      <c r="H29" s="2">
        <f>IF(C29="","",IF(LEN(C29)&lt;&gt;13,"Nema 13 cifara (ima "&amp;LEN(C29)&amp;")",IF(J29="","JMBG sadrži nešto što nije cifra",IF(L29="","Nepostojeći datum rođenja",IF(VALUE(MID(C29,13,1))&lt;&gt;J29,"Pogrešna kontrolna cifra — treba "&amp;J29,"✓ ispravan")))))</f>
        <v/>
      </c>
      <c r="I29">
        <f>IFERROR(IF(LEN(C29)&lt;&gt;13,"",7*(VALUE(MID(C29,1,1))+VALUE(MID(C29,7,1)))+6*(VALUE(MID(C29,2,1))+VALUE(MID(C29,8,1)))+5*(VALUE(MID(C29,3,1))+VALUE(MID(C29,9,1)))+4*(VALUE(MID(C29,4,1))+VALUE(MID(C29,10,1)))+3*(VALUE(MID(C29,5,1))+VALUE(MID(C29,11,1)))+2*(VALUE(MID(C29,6,1))+VALUE(MID(C29,12,1)))),"")</f>
        <v/>
      </c>
      <c r="J29">
        <f>IF(I29="","",IF(11-MOD(I29,11)&gt;9,0,11-MOD(I29,11)))</f>
        <v/>
      </c>
      <c r="K29">
        <f>IFERROR(IF(LEN(C29)&lt;&gt;13,"",IF(VALUE(MID(C29,5,3))&gt;=800,1000,2000)+VALUE(MID(C29,5,3))),"")</f>
        <v/>
      </c>
      <c r="L29">
        <f>IFERROR(IF(K29="","",IF(AND(DAY(DATE(K29,VALUE(MID(C29,3,2)),VALUE(MID(C29,1,2))))=VALUE(MID(C29,1,2)),MONTH(DATE(K29,VALUE(MID(C29,3,2)),VALUE(MID(C29,1,2))))=VALUE(MID(C29,3,2))),DATE(K29,VALUE(MID(C29,3,2)),VALUE(MID(C29,1,2))),"")),"")</f>
        <v/>
      </c>
    </row>
    <row r="30">
      <c r="A30" s="2" t="n"/>
      <c r="B30" s="2" t="n"/>
      <c r="C30" s="3" t="n"/>
      <c r="D30" s="2" t="n"/>
      <c r="E30" s="4" t="n"/>
      <c r="F30" s="2" t="n"/>
      <c r="G30" s="2" t="n"/>
      <c r="H30" s="2">
        <f>IF(C30="","",IF(LEN(C30)&lt;&gt;13,"Nema 13 cifara (ima "&amp;LEN(C30)&amp;")",IF(J30="","JMBG sadrži nešto što nije cifra",IF(L30="","Nepostojeći datum rođenja",IF(VALUE(MID(C30,13,1))&lt;&gt;J30,"Pogrešna kontrolna cifra — treba "&amp;J30,"✓ ispravan")))))</f>
        <v/>
      </c>
      <c r="I30">
        <f>IFERROR(IF(LEN(C30)&lt;&gt;13,"",7*(VALUE(MID(C30,1,1))+VALUE(MID(C30,7,1)))+6*(VALUE(MID(C30,2,1))+VALUE(MID(C30,8,1)))+5*(VALUE(MID(C30,3,1))+VALUE(MID(C30,9,1)))+4*(VALUE(MID(C30,4,1))+VALUE(MID(C30,10,1)))+3*(VALUE(MID(C30,5,1))+VALUE(MID(C30,11,1)))+2*(VALUE(MID(C30,6,1))+VALUE(MID(C30,12,1)))),"")</f>
        <v/>
      </c>
      <c r="J30">
        <f>IF(I30="","",IF(11-MOD(I30,11)&gt;9,0,11-MOD(I30,11)))</f>
        <v/>
      </c>
      <c r="K30">
        <f>IFERROR(IF(LEN(C30)&lt;&gt;13,"",IF(VALUE(MID(C30,5,3))&gt;=800,1000,2000)+VALUE(MID(C30,5,3))),"")</f>
        <v/>
      </c>
      <c r="L30">
        <f>IFERROR(IF(K30="","",IF(AND(DAY(DATE(K30,VALUE(MID(C30,3,2)),VALUE(MID(C30,1,2))))=VALUE(MID(C30,1,2)),MONTH(DATE(K30,VALUE(MID(C30,3,2)),VALUE(MID(C30,1,2))))=VALUE(MID(C30,3,2))),DATE(K30,VALUE(MID(C30,3,2)),VALUE(MID(C30,1,2))),"")),"")</f>
        <v/>
      </c>
    </row>
    <row r="31">
      <c r="A31" s="2" t="n"/>
      <c r="B31" s="2" t="n"/>
      <c r="C31" s="3" t="n"/>
      <c r="D31" s="2" t="n"/>
      <c r="E31" s="4" t="n"/>
      <c r="F31" s="2" t="n"/>
      <c r="G31" s="2" t="n"/>
      <c r="H31" s="2">
        <f>IF(C31="","",IF(LEN(C31)&lt;&gt;13,"Nema 13 cifara (ima "&amp;LEN(C31)&amp;")",IF(J31="","JMBG sadrži nešto što nije cifra",IF(L31="","Nepostojeći datum rođenja",IF(VALUE(MID(C31,13,1))&lt;&gt;J31,"Pogrešna kontrolna cifra — treba "&amp;J31,"✓ ispravan")))))</f>
        <v/>
      </c>
      <c r="I31">
        <f>IFERROR(IF(LEN(C31)&lt;&gt;13,"",7*(VALUE(MID(C31,1,1))+VALUE(MID(C31,7,1)))+6*(VALUE(MID(C31,2,1))+VALUE(MID(C31,8,1)))+5*(VALUE(MID(C31,3,1))+VALUE(MID(C31,9,1)))+4*(VALUE(MID(C31,4,1))+VALUE(MID(C31,10,1)))+3*(VALUE(MID(C31,5,1))+VALUE(MID(C31,11,1)))+2*(VALUE(MID(C31,6,1))+VALUE(MID(C31,12,1)))),"")</f>
        <v/>
      </c>
      <c r="J31">
        <f>IF(I31="","",IF(11-MOD(I31,11)&gt;9,0,11-MOD(I31,11)))</f>
        <v/>
      </c>
      <c r="K31">
        <f>IFERROR(IF(LEN(C31)&lt;&gt;13,"",IF(VALUE(MID(C31,5,3))&gt;=800,1000,2000)+VALUE(MID(C31,5,3))),"")</f>
        <v/>
      </c>
      <c r="L31">
        <f>IFERROR(IF(K31="","",IF(AND(DAY(DATE(K31,VALUE(MID(C31,3,2)),VALUE(MID(C31,1,2))))=VALUE(MID(C31,1,2)),MONTH(DATE(K31,VALUE(MID(C31,3,2)),VALUE(MID(C31,1,2))))=VALUE(MID(C31,3,2))),DATE(K31,VALUE(MID(C31,3,2)),VALUE(MID(C31,1,2))),"")),"")</f>
        <v/>
      </c>
    </row>
    <row r="32">
      <c r="A32" s="2" t="n"/>
      <c r="B32" s="2" t="n"/>
      <c r="C32" s="3" t="n"/>
      <c r="D32" s="2" t="n"/>
      <c r="E32" s="4" t="n"/>
      <c r="F32" s="2" t="n"/>
      <c r="G32" s="2" t="n"/>
      <c r="H32" s="2">
        <f>IF(C32="","",IF(LEN(C32)&lt;&gt;13,"Nema 13 cifara (ima "&amp;LEN(C32)&amp;")",IF(J32="","JMBG sadrži nešto što nije cifra",IF(L32="","Nepostojeći datum rođenja",IF(VALUE(MID(C32,13,1))&lt;&gt;J32,"Pogrešna kontrolna cifra — treba "&amp;J32,"✓ ispravan")))))</f>
        <v/>
      </c>
      <c r="I32">
        <f>IFERROR(IF(LEN(C32)&lt;&gt;13,"",7*(VALUE(MID(C32,1,1))+VALUE(MID(C32,7,1)))+6*(VALUE(MID(C32,2,1))+VALUE(MID(C32,8,1)))+5*(VALUE(MID(C32,3,1))+VALUE(MID(C32,9,1)))+4*(VALUE(MID(C32,4,1))+VALUE(MID(C32,10,1)))+3*(VALUE(MID(C32,5,1))+VALUE(MID(C32,11,1)))+2*(VALUE(MID(C32,6,1))+VALUE(MID(C32,12,1)))),"")</f>
        <v/>
      </c>
      <c r="J32">
        <f>IF(I32="","",IF(11-MOD(I32,11)&gt;9,0,11-MOD(I32,11)))</f>
        <v/>
      </c>
      <c r="K32">
        <f>IFERROR(IF(LEN(C32)&lt;&gt;13,"",IF(VALUE(MID(C32,5,3))&gt;=800,1000,2000)+VALUE(MID(C32,5,3))),"")</f>
        <v/>
      </c>
      <c r="L32">
        <f>IFERROR(IF(K32="","",IF(AND(DAY(DATE(K32,VALUE(MID(C32,3,2)),VALUE(MID(C32,1,2))))=VALUE(MID(C32,1,2)),MONTH(DATE(K32,VALUE(MID(C32,3,2)),VALUE(MID(C32,1,2))))=VALUE(MID(C32,3,2))),DATE(K32,VALUE(MID(C32,3,2)),VALUE(MID(C32,1,2))),"")),"")</f>
        <v/>
      </c>
    </row>
    <row r="33">
      <c r="A33" s="2" t="n"/>
      <c r="B33" s="2" t="n"/>
      <c r="C33" s="3" t="n"/>
      <c r="D33" s="2" t="n"/>
      <c r="E33" s="4" t="n"/>
      <c r="F33" s="2" t="n"/>
      <c r="G33" s="2" t="n"/>
      <c r="H33" s="2">
        <f>IF(C33="","",IF(LEN(C33)&lt;&gt;13,"Nema 13 cifara (ima "&amp;LEN(C33)&amp;")",IF(J33="","JMBG sadrži nešto što nije cifra",IF(L33="","Nepostojeći datum rođenja",IF(VALUE(MID(C33,13,1))&lt;&gt;J33,"Pogrešna kontrolna cifra — treba "&amp;J33,"✓ ispravan")))))</f>
        <v/>
      </c>
      <c r="I33">
        <f>IFERROR(IF(LEN(C33)&lt;&gt;13,"",7*(VALUE(MID(C33,1,1))+VALUE(MID(C33,7,1)))+6*(VALUE(MID(C33,2,1))+VALUE(MID(C33,8,1)))+5*(VALUE(MID(C33,3,1))+VALUE(MID(C33,9,1)))+4*(VALUE(MID(C33,4,1))+VALUE(MID(C33,10,1)))+3*(VALUE(MID(C33,5,1))+VALUE(MID(C33,11,1)))+2*(VALUE(MID(C33,6,1))+VALUE(MID(C33,12,1)))),"")</f>
        <v/>
      </c>
      <c r="J33">
        <f>IF(I33="","",IF(11-MOD(I33,11)&gt;9,0,11-MOD(I33,11)))</f>
        <v/>
      </c>
      <c r="K33">
        <f>IFERROR(IF(LEN(C33)&lt;&gt;13,"",IF(VALUE(MID(C33,5,3))&gt;=800,1000,2000)+VALUE(MID(C33,5,3))),"")</f>
        <v/>
      </c>
      <c r="L33">
        <f>IFERROR(IF(K33="","",IF(AND(DAY(DATE(K33,VALUE(MID(C33,3,2)),VALUE(MID(C33,1,2))))=VALUE(MID(C33,1,2)),MONTH(DATE(K33,VALUE(MID(C33,3,2)),VALUE(MID(C33,1,2))))=VALUE(MID(C33,3,2))),DATE(K33,VALUE(MID(C33,3,2)),VALUE(MID(C33,1,2))),"")),"")</f>
        <v/>
      </c>
    </row>
    <row r="34">
      <c r="A34" s="2" t="n"/>
      <c r="B34" s="2" t="n"/>
      <c r="C34" s="3" t="n"/>
      <c r="D34" s="2" t="n"/>
      <c r="E34" s="4" t="n"/>
      <c r="F34" s="2" t="n"/>
      <c r="G34" s="2" t="n"/>
      <c r="H34" s="2">
        <f>IF(C34="","",IF(LEN(C34)&lt;&gt;13,"Nema 13 cifara (ima "&amp;LEN(C34)&amp;")",IF(J34="","JMBG sadrži nešto što nije cifra",IF(L34="","Nepostojeći datum rođenja",IF(VALUE(MID(C34,13,1))&lt;&gt;J34,"Pogrešna kontrolna cifra — treba "&amp;J34,"✓ ispravan")))))</f>
        <v/>
      </c>
      <c r="I34">
        <f>IFERROR(IF(LEN(C34)&lt;&gt;13,"",7*(VALUE(MID(C34,1,1))+VALUE(MID(C34,7,1)))+6*(VALUE(MID(C34,2,1))+VALUE(MID(C34,8,1)))+5*(VALUE(MID(C34,3,1))+VALUE(MID(C34,9,1)))+4*(VALUE(MID(C34,4,1))+VALUE(MID(C34,10,1)))+3*(VALUE(MID(C34,5,1))+VALUE(MID(C34,11,1)))+2*(VALUE(MID(C34,6,1))+VALUE(MID(C34,12,1)))),"")</f>
        <v/>
      </c>
      <c r="J34">
        <f>IF(I34="","",IF(11-MOD(I34,11)&gt;9,0,11-MOD(I34,11)))</f>
        <v/>
      </c>
      <c r="K34">
        <f>IFERROR(IF(LEN(C34)&lt;&gt;13,"",IF(VALUE(MID(C34,5,3))&gt;=800,1000,2000)+VALUE(MID(C34,5,3))),"")</f>
        <v/>
      </c>
      <c r="L34">
        <f>IFERROR(IF(K34="","",IF(AND(DAY(DATE(K34,VALUE(MID(C34,3,2)),VALUE(MID(C34,1,2))))=VALUE(MID(C34,1,2)),MONTH(DATE(K34,VALUE(MID(C34,3,2)),VALUE(MID(C34,1,2))))=VALUE(MID(C34,3,2))),DATE(K34,VALUE(MID(C34,3,2)),VALUE(MID(C34,1,2))),"")),"")</f>
        <v/>
      </c>
    </row>
    <row r="35">
      <c r="A35" s="2" t="n"/>
      <c r="B35" s="2" t="n"/>
      <c r="C35" s="3" t="n"/>
      <c r="D35" s="2" t="n"/>
      <c r="E35" s="4" t="n"/>
      <c r="F35" s="2" t="n"/>
      <c r="G35" s="2" t="n"/>
      <c r="H35" s="2">
        <f>IF(C35="","",IF(LEN(C35)&lt;&gt;13,"Nema 13 cifara (ima "&amp;LEN(C35)&amp;")",IF(J35="","JMBG sadrži nešto što nije cifra",IF(L35="","Nepostojeći datum rođenja",IF(VALUE(MID(C35,13,1))&lt;&gt;J35,"Pogrešna kontrolna cifra — treba "&amp;J35,"✓ ispravan")))))</f>
        <v/>
      </c>
      <c r="I35">
        <f>IFERROR(IF(LEN(C35)&lt;&gt;13,"",7*(VALUE(MID(C35,1,1))+VALUE(MID(C35,7,1)))+6*(VALUE(MID(C35,2,1))+VALUE(MID(C35,8,1)))+5*(VALUE(MID(C35,3,1))+VALUE(MID(C35,9,1)))+4*(VALUE(MID(C35,4,1))+VALUE(MID(C35,10,1)))+3*(VALUE(MID(C35,5,1))+VALUE(MID(C35,11,1)))+2*(VALUE(MID(C35,6,1))+VALUE(MID(C35,12,1)))),"")</f>
        <v/>
      </c>
      <c r="J35">
        <f>IF(I35="","",IF(11-MOD(I35,11)&gt;9,0,11-MOD(I35,11)))</f>
        <v/>
      </c>
      <c r="K35">
        <f>IFERROR(IF(LEN(C35)&lt;&gt;13,"",IF(VALUE(MID(C35,5,3))&gt;=800,1000,2000)+VALUE(MID(C35,5,3))),"")</f>
        <v/>
      </c>
      <c r="L35">
        <f>IFERROR(IF(K35="","",IF(AND(DAY(DATE(K35,VALUE(MID(C35,3,2)),VALUE(MID(C35,1,2))))=VALUE(MID(C35,1,2)),MONTH(DATE(K35,VALUE(MID(C35,3,2)),VALUE(MID(C35,1,2))))=VALUE(MID(C35,3,2))),DATE(K35,VALUE(MID(C35,3,2)),VALUE(MID(C35,1,2))),"")),"")</f>
        <v/>
      </c>
    </row>
    <row r="36">
      <c r="A36" s="2" t="n"/>
      <c r="B36" s="2" t="n"/>
      <c r="C36" s="3" t="n"/>
      <c r="D36" s="2" t="n"/>
      <c r="E36" s="4" t="n"/>
      <c r="F36" s="2" t="n"/>
      <c r="G36" s="2" t="n"/>
      <c r="H36" s="2">
        <f>IF(C36="","",IF(LEN(C36)&lt;&gt;13,"Nema 13 cifara (ima "&amp;LEN(C36)&amp;")",IF(J36="","JMBG sadrži nešto što nije cifra",IF(L36="","Nepostojeći datum rođenja",IF(VALUE(MID(C36,13,1))&lt;&gt;J36,"Pogrešna kontrolna cifra — treba "&amp;J36,"✓ ispravan")))))</f>
        <v/>
      </c>
      <c r="I36">
        <f>IFERROR(IF(LEN(C36)&lt;&gt;13,"",7*(VALUE(MID(C36,1,1))+VALUE(MID(C36,7,1)))+6*(VALUE(MID(C36,2,1))+VALUE(MID(C36,8,1)))+5*(VALUE(MID(C36,3,1))+VALUE(MID(C36,9,1)))+4*(VALUE(MID(C36,4,1))+VALUE(MID(C36,10,1)))+3*(VALUE(MID(C36,5,1))+VALUE(MID(C36,11,1)))+2*(VALUE(MID(C36,6,1))+VALUE(MID(C36,12,1)))),"")</f>
        <v/>
      </c>
      <c r="J36">
        <f>IF(I36="","",IF(11-MOD(I36,11)&gt;9,0,11-MOD(I36,11)))</f>
        <v/>
      </c>
      <c r="K36">
        <f>IFERROR(IF(LEN(C36)&lt;&gt;13,"",IF(VALUE(MID(C36,5,3))&gt;=800,1000,2000)+VALUE(MID(C36,5,3))),"")</f>
        <v/>
      </c>
      <c r="L36">
        <f>IFERROR(IF(K36="","",IF(AND(DAY(DATE(K36,VALUE(MID(C36,3,2)),VALUE(MID(C36,1,2))))=VALUE(MID(C36,1,2)),MONTH(DATE(K36,VALUE(MID(C36,3,2)),VALUE(MID(C36,1,2))))=VALUE(MID(C36,3,2))),DATE(K36,VALUE(MID(C36,3,2)),VALUE(MID(C36,1,2))),"")),"")</f>
        <v/>
      </c>
    </row>
    <row r="37">
      <c r="A37" s="2" t="n"/>
      <c r="B37" s="2" t="n"/>
      <c r="C37" s="3" t="n"/>
      <c r="D37" s="2" t="n"/>
      <c r="E37" s="4" t="n"/>
      <c r="F37" s="2" t="n"/>
      <c r="G37" s="2" t="n"/>
      <c r="H37" s="2">
        <f>IF(C37="","",IF(LEN(C37)&lt;&gt;13,"Nema 13 cifara (ima "&amp;LEN(C37)&amp;")",IF(J37="","JMBG sadrži nešto što nije cifra",IF(L37="","Nepostojeći datum rođenja",IF(VALUE(MID(C37,13,1))&lt;&gt;J37,"Pogrešna kontrolna cifra — treba "&amp;J37,"✓ ispravan")))))</f>
        <v/>
      </c>
      <c r="I37">
        <f>IFERROR(IF(LEN(C37)&lt;&gt;13,"",7*(VALUE(MID(C37,1,1))+VALUE(MID(C37,7,1)))+6*(VALUE(MID(C37,2,1))+VALUE(MID(C37,8,1)))+5*(VALUE(MID(C37,3,1))+VALUE(MID(C37,9,1)))+4*(VALUE(MID(C37,4,1))+VALUE(MID(C37,10,1)))+3*(VALUE(MID(C37,5,1))+VALUE(MID(C37,11,1)))+2*(VALUE(MID(C37,6,1))+VALUE(MID(C37,12,1)))),"")</f>
        <v/>
      </c>
      <c r="J37">
        <f>IF(I37="","",IF(11-MOD(I37,11)&gt;9,0,11-MOD(I37,11)))</f>
        <v/>
      </c>
      <c r="K37">
        <f>IFERROR(IF(LEN(C37)&lt;&gt;13,"",IF(VALUE(MID(C37,5,3))&gt;=800,1000,2000)+VALUE(MID(C37,5,3))),"")</f>
        <v/>
      </c>
      <c r="L37">
        <f>IFERROR(IF(K37="","",IF(AND(DAY(DATE(K37,VALUE(MID(C37,3,2)),VALUE(MID(C37,1,2))))=VALUE(MID(C37,1,2)),MONTH(DATE(K37,VALUE(MID(C37,3,2)),VALUE(MID(C37,1,2))))=VALUE(MID(C37,3,2))),DATE(K37,VALUE(MID(C37,3,2)),VALUE(MID(C37,1,2))),"")),"")</f>
        <v/>
      </c>
    </row>
    <row r="38">
      <c r="A38" s="2" t="n"/>
      <c r="B38" s="2" t="n"/>
      <c r="C38" s="3" t="n"/>
      <c r="D38" s="2" t="n"/>
      <c r="E38" s="4" t="n"/>
      <c r="F38" s="2" t="n"/>
      <c r="G38" s="2" t="n"/>
      <c r="H38" s="2">
        <f>IF(C38="","",IF(LEN(C38)&lt;&gt;13,"Nema 13 cifara (ima "&amp;LEN(C38)&amp;")",IF(J38="","JMBG sadrži nešto što nije cifra",IF(L38="","Nepostojeći datum rođenja",IF(VALUE(MID(C38,13,1))&lt;&gt;J38,"Pogrešna kontrolna cifra — treba "&amp;J38,"✓ ispravan")))))</f>
        <v/>
      </c>
      <c r="I38">
        <f>IFERROR(IF(LEN(C38)&lt;&gt;13,"",7*(VALUE(MID(C38,1,1))+VALUE(MID(C38,7,1)))+6*(VALUE(MID(C38,2,1))+VALUE(MID(C38,8,1)))+5*(VALUE(MID(C38,3,1))+VALUE(MID(C38,9,1)))+4*(VALUE(MID(C38,4,1))+VALUE(MID(C38,10,1)))+3*(VALUE(MID(C38,5,1))+VALUE(MID(C38,11,1)))+2*(VALUE(MID(C38,6,1))+VALUE(MID(C38,12,1)))),"")</f>
        <v/>
      </c>
      <c r="J38">
        <f>IF(I38="","",IF(11-MOD(I38,11)&gt;9,0,11-MOD(I38,11)))</f>
        <v/>
      </c>
      <c r="K38">
        <f>IFERROR(IF(LEN(C38)&lt;&gt;13,"",IF(VALUE(MID(C38,5,3))&gt;=800,1000,2000)+VALUE(MID(C38,5,3))),"")</f>
        <v/>
      </c>
      <c r="L38">
        <f>IFERROR(IF(K38="","",IF(AND(DAY(DATE(K38,VALUE(MID(C38,3,2)),VALUE(MID(C38,1,2))))=VALUE(MID(C38,1,2)),MONTH(DATE(K38,VALUE(MID(C38,3,2)),VALUE(MID(C38,1,2))))=VALUE(MID(C38,3,2))),DATE(K38,VALUE(MID(C38,3,2)),VALUE(MID(C38,1,2))),"")),"")</f>
        <v/>
      </c>
    </row>
    <row r="39">
      <c r="A39" s="2" t="n"/>
      <c r="B39" s="2" t="n"/>
      <c r="C39" s="3" t="n"/>
      <c r="D39" s="2" t="n"/>
      <c r="E39" s="4" t="n"/>
      <c r="F39" s="2" t="n"/>
      <c r="G39" s="2" t="n"/>
      <c r="H39" s="2">
        <f>IF(C39="","",IF(LEN(C39)&lt;&gt;13,"Nema 13 cifara (ima "&amp;LEN(C39)&amp;")",IF(J39="","JMBG sadrži nešto što nije cifra",IF(L39="","Nepostojeći datum rođenja",IF(VALUE(MID(C39,13,1))&lt;&gt;J39,"Pogrešna kontrolna cifra — treba "&amp;J39,"✓ ispravan")))))</f>
        <v/>
      </c>
      <c r="I39">
        <f>IFERROR(IF(LEN(C39)&lt;&gt;13,"",7*(VALUE(MID(C39,1,1))+VALUE(MID(C39,7,1)))+6*(VALUE(MID(C39,2,1))+VALUE(MID(C39,8,1)))+5*(VALUE(MID(C39,3,1))+VALUE(MID(C39,9,1)))+4*(VALUE(MID(C39,4,1))+VALUE(MID(C39,10,1)))+3*(VALUE(MID(C39,5,1))+VALUE(MID(C39,11,1)))+2*(VALUE(MID(C39,6,1))+VALUE(MID(C39,12,1)))),"")</f>
        <v/>
      </c>
      <c r="J39">
        <f>IF(I39="","",IF(11-MOD(I39,11)&gt;9,0,11-MOD(I39,11)))</f>
        <v/>
      </c>
      <c r="K39">
        <f>IFERROR(IF(LEN(C39)&lt;&gt;13,"",IF(VALUE(MID(C39,5,3))&gt;=800,1000,2000)+VALUE(MID(C39,5,3))),"")</f>
        <v/>
      </c>
      <c r="L39">
        <f>IFERROR(IF(K39="","",IF(AND(DAY(DATE(K39,VALUE(MID(C39,3,2)),VALUE(MID(C39,1,2))))=VALUE(MID(C39,1,2)),MONTH(DATE(K39,VALUE(MID(C39,3,2)),VALUE(MID(C39,1,2))))=VALUE(MID(C39,3,2))),DATE(K39,VALUE(MID(C39,3,2)),VALUE(MID(C39,1,2))),"")),"")</f>
        <v/>
      </c>
    </row>
    <row r="40">
      <c r="A40" s="2" t="n"/>
      <c r="B40" s="2" t="n"/>
      <c r="C40" s="3" t="n"/>
      <c r="D40" s="2" t="n"/>
      <c r="E40" s="4" t="n"/>
      <c r="F40" s="2" t="n"/>
      <c r="G40" s="2" t="n"/>
      <c r="H40" s="2">
        <f>IF(C40="","",IF(LEN(C40)&lt;&gt;13,"Nema 13 cifara (ima "&amp;LEN(C40)&amp;")",IF(J40="","JMBG sadrži nešto što nije cifra",IF(L40="","Nepostojeći datum rođenja",IF(VALUE(MID(C40,13,1))&lt;&gt;J40,"Pogrešna kontrolna cifra — treba "&amp;J40,"✓ ispravan")))))</f>
        <v/>
      </c>
      <c r="I40">
        <f>IFERROR(IF(LEN(C40)&lt;&gt;13,"",7*(VALUE(MID(C40,1,1))+VALUE(MID(C40,7,1)))+6*(VALUE(MID(C40,2,1))+VALUE(MID(C40,8,1)))+5*(VALUE(MID(C40,3,1))+VALUE(MID(C40,9,1)))+4*(VALUE(MID(C40,4,1))+VALUE(MID(C40,10,1)))+3*(VALUE(MID(C40,5,1))+VALUE(MID(C40,11,1)))+2*(VALUE(MID(C40,6,1))+VALUE(MID(C40,12,1)))),"")</f>
        <v/>
      </c>
      <c r="J40">
        <f>IF(I40="","",IF(11-MOD(I40,11)&gt;9,0,11-MOD(I40,11)))</f>
        <v/>
      </c>
      <c r="K40">
        <f>IFERROR(IF(LEN(C40)&lt;&gt;13,"",IF(VALUE(MID(C40,5,3))&gt;=800,1000,2000)+VALUE(MID(C40,5,3))),"")</f>
        <v/>
      </c>
      <c r="L40">
        <f>IFERROR(IF(K40="","",IF(AND(DAY(DATE(K40,VALUE(MID(C40,3,2)),VALUE(MID(C40,1,2))))=VALUE(MID(C40,1,2)),MONTH(DATE(K40,VALUE(MID(C40,3,2)),VALUE(MID(C40,1,2))))=VALUE(MID(C40,3,2))),DATE(K40,VALUE(MID(C40,3,2)),VALUE(MID(C40,1,2))),"")),"")</f>
        <v/>
      </c>
    </row>
    <row r="41">
      <c r="A41" s="2" t="n"/>
      <c r="B41" s="2" t="n"/>
      <c r="C41" s="3" t="n"/>
      <c r="D41" s="2" t="n"/>
      <c r="E41" s="4" t="n"/>
      <c r="F41" s="2" t="n"/>
      <c r="G41" s="2" t="n"/>
      <c r="H41" s="2">
        <f>IF(C41="","",IF(LEN(C41)&lt;&gt;13,"Nema 13 cifara (ima "&amp;LEN(C41)&amp;")",IF(J41="","JMBG sadrži nešto što nije cifra",IF(L41="","Nepostojeći datum rođenja",IF(VALUE(MID(C41,13,1))&lt;&gt;J41,"Pogrešna kontrolna cifra — treba "&amp;J41,"✓ ispravan")))))</f>
        <v/>
      </c>
      <c r="I41">
        <f>IFERROR(IF(LEN(C41)&lt;&gt;13,"",7*(VALUE(MID(C41,1,1))+VALUE(MID(C41,7,1)))+6*(VALUE(MID(C41,2,1))+VALUE(MID(C41,8,1)))+5*(VALUE(MID(C41,3,1))+VALUE(MID(C41,9,1)))+4*(VALUE(MID(C41,4,1))+VALUE(MID(C41,10,1)))+3*(VALUE(MID(C41,5,1))+VALUE(MID(C41,11,1)))+2*(VALUE(MID(C41,6,1))+VALUE(MID(C41,12,1)))),"")</f>
        <v/>
      </c>
      <c r="J41">
        <f>IF(I41="","",IF(11-MOD(I41,11)&gt;9,0,11-MOD(I41,11)))</f>
        <v/>
      </c>
      <c r="K41">
        <f>IFERROR(IF(LEN(C41)&lt;&gt;13,"",IF(VALUE(MID(C41,5,3))&gt;=800,1000,2000)+VALUE(MID(C41,5,3))),"")</f>
        <v/>
      </c>
      <c r="L41">
        <f>IFERROR(IF(K41="","",IF(AND(DAY(DATE(K41,VALUE(MID(C41,3,2)),VALUE(MID(C41,1,2))))=VALUE(MID(C41,1,2)),MONTH(DATE(K41,VALUE(MID(C41,3,2)),VALUE(MID(C41,1,2))))=VALUE(MID(C41,3,2))),DATE(K41,VALUE(MID(C41,3,2)),VALUE(MID(C41,1,2))),"")),"")</f>
        <v/>
      </c>
    </row>
    <row r="42">
      <c r="A42" s="2" t="n"/>
      <c r="B42" s="2" t="n"/>
      <c r="C42" s="3" t="n"/>
      <c r="D42" s="2" t="n"/>
      <c r="E42" s="4" t="n"/>
      <c r="F42" s="2" t="n"/>
      <c r="G42" s="2" t="n"/>
      <c r="H42" s="2">
        <f>IF(C42="","",IF(LEN(C42)&lt;&gt;13,"Nema 13 cifara (ima "&amp;LEN(C42)&amp;")",IF(J42="","JMBG sadrži nešto što nije cifra",IF(L42="","Nepostojeći datum rođenja",IF(VALUE(MID(C42,13,1))&lt;&gt;J42,"Pogrešna kontrolna cifra — treba "&amp;J42,"✓ ispravan")))))</f>
        <v/>
      </c>
      <c r="I42">
        <f>IFERROR(IF(LEN(C42)&lt;&gt;13,"",7*(VALUE(MID(C42,1,1))+VALUE(MID(C42,7,1)))+6*(VALUE(MID(C42,2,1))+VALUE(MID(C42,8,1)))+5*(VALUE(MID(C42,3,1))+VALUE(MID(C42,9,1)))+4*(VALUE(MID(C42,4,1))+VALUE(MID(C42,10,1)))+3*(VALUE(MID(C42,5,1))+VALUE(MID(C42,11,1)))+2*(VALUE(MID(C42,6,1))+VALUE(MID(C42,12,1)))),"")</f>
        <v/>
      </c>
      <c r="J42">
        <f>IF(I42="","",IF(11-MOD(I42,11)&gt;9,0,11-MOD(I42,11)))</f>
        <v/>
      </c>
      <c r="K42">
        <f>IFERROR(IF(LEN(C42)&lt;&gt;13,"",IF(VALUE(MID(C42,5,3))&gt;=800,1000,2000)+VALUE(MID(C42,5,3))),"")</f>
        <v/>
      </c>
      <c r="L42">
        <f>IFERROR(IF(K42="","",IF(AND(DAY(DATE(K42,VALUE(MID(C42,3,2)),VALUE(MID(C42,1,2))))=VALUE(MID(C42,1,2)),MONTH(DATE(K42,VALUE(MID(C42,3,2)),VALUE(MID(C42,1,2))))=VALUE(MID(C42,3,2))),DATE(K42,VALUE(MID(C42,3,2)),VALUE(MID(C42,1,2))),"")),"")</f>
        <v/>
      </c>
    </row>
    <row r="43">
      <c r="A43" s="2" t="n"/>
      <c r="B43" s="2" t="n"/>
      <c r="C43" s="3" t="n"/>
      <c r="D43" s="2" t="n"/>
      <c r="E43" s="4" t="n"/>
      <c r="F43" s="2" t="n"/>
      <c r="G43" s="2" t="n"/>
      <c r="H43" s="2">
        <f>IF(C43="","",IF(LEN(C43)&lt;&gt;13,"Nema 13 cifara (ima "&amp;LEN(C43)&amp;")",IF(J43="","JMBG sadrži nešto što nije cifra",IF(L43="","Nepostojeći datum rođenja",IF(VALUE(MID(C43,13,1))&lt;&gt;J43,"Pogrešna kontrolna cifra — treba "&amp;J43,"✓ ispravan")))))</f>
        <v/>
      </c>
      <c r="I43">
        <f>IFERROR(IF(LEN(C43)&lt;&gt;13,"",7*(VALUE(MID(C43,1,1))+VALUE(MID(C43,7,1)))+6*(VALUE(MID(C43,2,1))+VALUE(MID(C43,8,1)))+5*(VALUE(MID(C43,3,1))+VALUE(MID(C43,9,1)))+4*(VALUE(MID(C43,4,1))+VALUE(MID(C43,10,1)))+3*(VALUE(MID(C43,5,1))+VALUE(MID(C43,11,1)))+2*(VALUE(MID(C43,6,1))+VALUE(MID(C43,12,1)))),"")</f>
        <v/>
      </c>
      <c r="J43">
        <f>IF(I43="","",IF(11-MOD(I43,11)&gt;9,0,11-MOD(I43,11)))</f>
        <v/>
      </c>
      <c r="K43">
        <f>IFERROR(IF(LEN(C43)&lt;&gt;13,"",IF(VALUE(MID(C43,5,3))&gt;=800,1000,2000)+VALUE(MID(C43,5,3))),"")</f>
        <v/>
      </c>
      <c r="L43">
        <f>IFERROR(IF(K43="","",IF(AND(DAY(DATE(K43,VALUE(MID(C43,3,2)),VALUE(MID(C43,1,2))))=VALUE(MID(C43,1,2)),MONTH(DATE(K43,VALUE(MID(C43,3,2)),VALUE(MID(C43,1,2))))=VALUE(MID(C43,3,2))),DATE(K43,VALUE(MID(C43,3,2)),VALUE(MID(C43,1,2))),"")),"")</f>
        <v/>
      </c>
    </row>
    <row r="44">
      <c r="A44" s="2" t="n"/>
      <c r="B44" s="2" t="n"/>
      <c r="C44" s="3" t="n"/>
      <c r="D44" s="2" t="n"/>
      <c r="E44" s="4" t="n"/>
      <c r="F44" s="2" t="n"/>
      <c r="G44" s="2" t="n"/>
      <c r="H44" s="2">
        <f>IF(C44="","",IF(LEN(C44)&lt;&gt;13,"Nema 13 cifara (ima "&amp;LEN(C44)&amp;")",IF(J44="","JMBG sadrži nešto što nije cifra",IF(L44="","Nepostojeći datum rođenja",IF(VALUE(MID(C44,13,1))&lt;&gt;J44,"Pogrešna kontrolna cifra — treba "&amp;J44,"✓ ispravan")))))</f>
        <v/>
      </c>
      <c r="I44">
        <f>IFERROR(IF(LEN(C44)&lt;&gt;13,"",7*(VALUE(MID(C44,1,1))+VALUE(MID(C44,7,1)))+6*(VALUE(MID(C44,2,1))+VALUE(MID(C44,8,1)))+5*(VALUE(MID(C44,3,1))+VALUE(MID(C44,9,1)))+4*(VALUE(MID(C44,4,1))+VALUE(MID(C44,10,1)))+3*(VALUE(MID(C44,5,1))+VALUE(MID(C44,11,1)))+2*(VALUE(MID(C44,6,1))+VALUE(MID(C44,12,1)))),"")</f>
        <v/>
      </c>
      <c r="J44">
        <f>IF(I44="","",IF(11-MOD(I44,11)&gt;9,0,11-MOD(I44,11)))</f>
        <v/>
      </c>
      <c r="K44">
        <f>IFERROR(IF(LEN(C44)&lt;&gt;13,"",IF(VALUE(MID(C44,5,3))&gt;=800,1000,2000)+VALUE(MID(C44,5,3))),"")</f>
        <v/>
      </c>
      <c r="L44">
        <f>IFERROR(IF(K44="","",IF(AND(DAY(DATE(K44,VALUE(MID(C44,3,2)),VALUE(MID(C44,1,2))))=VALUE(MID(C44,1,2)),MONTH(DATE(K44,VALUE(MID(C44,3,2)),VALUE(MID(C44,1,2))))=VALUE(MID(C44,3,2))),DATE(K44,VALUE(MID(C44,3,2)),VALUE(MID(C44,1,2))),"")),"")</f>
        <v/>
      </c>
    </row>
    <row r="45">
      <c r="A45" s="2" t="n"/>
      <c r="B45" s="2" t="n"/>
      <c r="C45" s="3" t="n"/>
      <c r="D45" s="2" t="n"/>
      <c r="E45" s="4" t="n"/>
      <c r="F45" s="2" t="n"/>
      <c r="G45" s="2" t="n"/>
      <c r="H45" s="2">
        <f>IF(C45="","",IF(LEN(C45)&lt;&gt;13,"Nema 13 cifara (ima "&amp;LEN(C45)&amp;")",IF(J45="","JMBG sadrži nešto što nije cifra",IF(L45="","Nepostojeći datum rođenja",IF(VALUE(MID(C45,13,1))&lt;&gt;J45,"Pogrešna kontrolna cifra — treba "&amp;J45,"✓ ispravan")))))</f>
        <v/>
      </c>
      <c r="I45">
        <f>IFERROR(IF(LEN(C45)&lt;&gt;13,"",7*(VALUE(MID(C45,1,1))+VALUE(MID(C45,7,1)))+6*(VALUE(MID(C45,2,1))+VALUE(MID(C45,8,1)))+5*(VALUE(MID(C45,3,1))+VALUE(MID(C45,9,1)))+4*(VALUE(MID(C45,4,1))+VALUE(MID(C45,10,1)))+3*(VALUE(MID(C45,5,1))+VALUE(MID(C45,11,1)))+2*(VALUE(MID(C45,6,1))+VALUE(MID(C45,12,1)))),"")</f>
        <v/>
      </c>
      <c r="J45">
        <f>IF(I45="","",IF(11-MOD(I45,11)&gt;9,0,11-MOD(I45,11)))</f>
        <v/>
      </c>
      <c r="K45">
        <f>IFERROR(IF(LEN(C45)&lt;&gt;13,"",IF(VALUE(MID(C45,5,3))&gt;=800,1000,2000)+VALUE(MID(C45,5,3))),"")</f>
        <v/>
      </c>
      <c r="L45">
        <f>IFERROR(IF(K45="","",IF(AND(DAY(DATE(K45,VALUE(MID(C45,3,2)),VALUE(MID(C45,1,2))))=VALUE(MID(C45,1,2)),MONTH(DATE(K45,VALUE(MID(C45,3,2)),VALUE(MID(C45,1,2))))=VALUE(MID(C45,3,2))),DATE(K45,VALUE(MID(C45,3,2)),VALUE(MID(C45,1,2))),"")),"")</f>
        <v/>
      </c>
    </row>
    <row r="46">
      <c r="A46" s="2" t="n"/>
      <c r="B46" s="2" t="n"/>
      <c r="C46" s="3" t="n"/>
      <c r="D46" s="2" t="n"/>
      <c r="E46" s="4" t="n"/>
      <c r="F46" s="2" t="n"/>
      <c r="G46" s="2" t="n"/>
      <c r="H46" s="2">
        <f>IF(C46="","",IF(LEN(C46)&lt;&gt;13,"Nema 13 cifara (ima "&amp;LEN(C46)&amp;")",IF(J46="","JMBG sadrži nešto što nije cifra",IF(L46="","Nepostojeći datum rođenja",IF(VALUE(MID(C46,13,1))&lt;&gt;J46,"Pogrešna kontrolna cifra — treba "&amp;J46,"✓ ispravan")))))</f>
        <v/>
      </c>
      <c r="I46">
        <f>IFERROR(IF(LEN(C46)&lt;&gt;13,"",7*(VALUE(MID(C46,1,1))+VALUE(MID(C46,7,1)))+6*(VALUE(MID(C46,2,1))+VALUE(MID(C46,8,1)))+5*(VALUE(MID(C46,3,1))+VALUE(MID(C46,9,1)))+4*(VALUE(MID(C46,4,1))+VALUE(MID(C46,10,1)))+3*(VALUE(MID(C46,5,1))+VALUE(MID(C46,11,1)))+2*(VALUE(MID(C46,6,1))+VALUE(MID(C46,12,1)))),"")</f>
        <v/>
      </c>
      <c r="J46">
        <f>IF(I46="","",IF(11-MOD(I46,11)&gt;9,0,11-MOD(I46,11)))</f>
        <v/>
      </c>
      <c r="K46">
        <f>IFERROR(IF(LEN(C46)&lt;&gt;13,"",IF(VALUE(MID(C46,5,3))&gt;=800,1000,2000)+VALUE(MID(C46,5,3))),"")</f>
        <v/>
      </c>
      <c r="L46">
        <f>IFERROR(IF(K46="","",IF(AND(DAY(DATE(K46,VALUE(MID(C46,3,2)),VALUE(MID(C46,1,2))))=VALUE(MID(C46,1,2)),MONTH(DATE(K46,VALUE(MID(C46,3,2)),VALUE(MID(C46,1,2))))=VALUE(MID(C46,3,2))),DATE(K46,VALUE(MID(C46,3,2)),VALUE(MID(C46,1,2))),"")),"")</f>
        <v/>
      </c>
    </row>
    <row r="47">
      <c r="A47" s="2" t="n"/>
      <c r="B47" s="2" t="n"/>
      <c r="C47" s="3" t="n"/>
      <c r="D47" s="2" t="n"/>
      <c r="E47" s="4" t="n"/>
      <c r="F47" s="2" t="n"/>
      <c r="G47" s="2" t="n"/>
      <c r="H47" s="2">
        <f>IF(C47="","",IF(LEN(C47)&lt;&gt;13,"Nema 13 cifara (ima "&amp;LEN(C47)&amp;")",IF(J47="","JMBG sadrži nešto što nije cifra",IF(L47="","Nepostojeći datum rođenja",IF(VALUE(MID(C47,13,1))&lt;&gt;J47,"Pogrešna kontrolna cifra — treba "&amp;J47,"✓ ispravan")))))</f>
        <v/>
      </c>
      <c r="I47">
        <f>IFERROR(IF(LEN(C47)&lt;&gt;13,"",7*(VALUE(MID(C47,1,1))+VALUE(MID(C47,7,1)))+6*(VALUE(MID(C47,2,1))+VALUE(MID(C47,8,1)))+5*(VALUE(MID(C47,3,1))+VALUE(MID(C47,9,1)))+4*(VALUE(MID(C47,4,1))+VALUE(MID(C47,10,1)))+3*(VALUE(MID(C47,5,1))+VALUE(MID(C47,11,1)))+2*(VALUE(MID(C47,6,1))+VALUE(MID(C47,12,1)))),"")</f>
        <v/>
      </c>
      <c r="J47">
        <f>IF(I47="","",IF(11-MOD(I47,11)&gt;9,0,11-MOD(I47,11)))</f>
        <v/>
      </c>
      <c r="K47">
        <f>IFERROR(IF(LEN(C47)&lt;&gt;13,"",IF(VALUE(MID(C47,5,3))&gt;=800,1000,2000)+VALUE(MID(C47,5,3))),"")</f>
        <v/>
      </c>
      <c r="L47">
        <f>IFERROR(IF(K47="","",IF(AND(DAY(DATE(K47,VALUE(MID(C47,3,2)),VALUE(MID(C47,1,2))))=VALUE(MID(C47,1,2)),MONTH(DATE(K47,VALUE(MID(C47,3,2)),VALUE(MID(C47,1,2))))=VALUE(MID(C47,3,2))),DATE(K47,VALUE(MID(C47,3,2)),VALUE(MID(C47,1,2))),"")),"")</f>
        <v/>
      </c>
    </row>
    <row r="48">
      <c r="A48" s="2" t="n"/>
      <c r="B48" s="2" t="n"/>
      <c r="C48" s="3" t="n"/>
      <c r="D48" s="2" t="n"/>
      <c r="E48" s="4" t="n"/>
      <c r="F48" s="2" t="n"/>
      <c r="G48" s="2" t="n"/>
      <c r="H48" s="2">
        <f>IF(C48="","",IF(LEN(C48)&lt;&gt;13,"Nema 13 cifara (ima "&amp;LEN(C48)&amp;")",IF(J48="","JMBG sadrži nešto što nije cifra",IF(L48="","Nepostojeći datum rođenja",IF(VALUE(MID(C48,13,1))&lt;&gt;J48,"Pogrešna kontrolna cifra — treba "&amp;J48,"✓ ispravan")))))</f>
        <v/>
      </c>
      <c r="I48">
        <f>IFERROR(IF(LEN(C48)&lt;&gt;13,"",7*(VALUE(MID(C48,1,1))+VALUE(MID(C48,7,1)))+6*(VALUE(MID(C48,2,1))+VALUE(MID(C48,8,1)))+5*(VALUE(MID(C48,3,1))+VALUE(MID(C48,9,1)))+4*(VALUE(MID(C48,4,1))+VALUE(MID(C48,10,1)))+3*(VALUE(MID(C48,5,1))+VALUE(MID(C48,11,1)))+2*(VALUE(MID(C48,6,1))+VALUE(MID(C48,12,1)))),"")</f>
        <v/>
      </c>
      <c r="J48">
        <f>IF(I48="","",IF(11-MOD(I48,11)&gt;9,0,11-MOD(I48,11)))</f>
        <v/>
      </c>
      <c r="K48">
        <f>IFERROR(IF(LEN(C48)&lt;&gt;13,"",IF(VALUE(MID(C48,5,3))&gt;=800,1000,2000)+VALUE(MID(C48,5,3))),"")</f>
        <v/>
      </c>
      <c r="L48">
        <f>IFERROR(IF(K48="","",IF(AND(DAY(DATE(K48,VALUE(MID(C48,3,2)),VALUE(MID(C48,1,2))))=VALUE(MID(C48,1,2)),MONTH(DATE(K48,VALUE(MID(C48,3,2)),VALUE(MID(C48,1,2))))=VALUE(MID(C48,3,2))),DATE(K48,VALUE(MID(C48,3,2)),VALUE(MID(C48,1,2))),"")),"")</f>
        <v/>
      </c>
    </row>
    <row r="49">
      <c r="A49" s="2" t="n"/>
      <c r="B49" s="2" t="n"/>
      <c r="C49" s="3" t="n"/>
      <c r="D49" s="2" t="n"/>
      <c r="E49" s="4" t="n"/>
      <c r="F49" s="2" t="n"/>
      <c r="G49" s="2" t="n"/>
      <c r="H49" s="2">
        <f>IF(C49="","",IF(LEN(C49)&lt;&gt;13,"Nema 13 cifara (ima "&amp;LEN(C49)&amp;")",IF(J49="","JMBG sadrži nešto što nije cifra",IF(L49="","Nepostojeći datum rođenja",IF(VALUE(MID(C49,13,1))&lt;&gt;J49,"Pogrešna kontrolna cifra — treba "&amp;J49,"✓ ispravan")))))</f>
        <v/>
      </c>
      <c r="I49">
        <f>IFERROR(IF(LEN(C49)&lt;&gt;13,"",7*(VALUE(MID(C49,1,1))+VALUE(MID(C49,7,1)))+6*(VALUE(MID(C49,2,1))+VALUE(MID(C49,8,1)))+5*(VALUE(MID(C49,3,1))+VALUE(MID(C49,9,1)))+4*(VALUE(MID(C49,4,1))+VALUE(MID(C49,10,1)))+3*(VALUE(MID(C49,5,1))+VALUE(MID(C49,11,1)))+2*(VALUE(MID(C49,6,1))+VALUE(MID(C49,12,1)))),"")</f>
        <v/>
      </c>
      <c r="J49">
        <f>IF(I49="","",IF(11-MOD(I49,11)&gt;9,0,11-MOD(I49,11)))</f>
        <v/>
      </c>
      <c r="K49">
        <f>IFERROR(IF(LEN(C49)&lt;&gt;13,"",IF(VALUE(MID(C49,5,3))&gt;=800,1000,2000)+VALUE(MID(C49,5,3))),"")</f>
        <v/>
      </c>
      <c r="L49">
        <f>IFERROR(IF(K49="","",IF(AND(DAY(DATE(K49,VALUE(MID(C49,3,2)),VALUE(MID(C49,1,2))))=VALUE(MID(C49,1,2)),MONTH(DATE(K49,VALUE(MID(C49,3,2)),VALUE(MID(C49,1,2))))=VALUE(MID(C49,3,2))),DATE(K49,VALUE(MID(C49,3,2)),VALUE(MID(C49,1,2))),"")),"")</f>
        <v/>
      </c>
    </row>
    <row r="50">
      <c r="A50" s="2" t="n"/>
      <c r="B50" s="2" t="n"/>
      <c r="C50" s="3" t="n"/>
      <c r="D50" s="2" t="n"/>
      <c r="E50" s="4" t="n"/>
      <c r="F50" s="2" t="n"/>
      <c r="G50" s="2" t="n"/>
      <c r="H50" s="2">
        <f>IF(C50="","",IF(LEN(C50)&lt;&gt;13,"Nema 13 cifara (ima "&amp;LEN(C50)&amp;")",IF(J50="","JMBG sadrži nešto što nije cifra",IF(L50="","Nepostojeći datum rođenja",IF(VALUE(MID(C50,13,1))&lt;&gt;J50,"Pogrešna kontrolna cifra — treba "&amp;J50,"✓ ispravan")))))</f>
        <v/>
      </c>
      <c r="I50">
        <f>IFERROR(IF(LEN(C50)&lt;&gt;13,"",7*(VALUE(MID(C50,1,1))+VALUE(MID(C50,7,1)))+6*(VALUE(MID(C50,2,1))+VALUE(MID(C50,8,1)))+5*(VALUE(MID(C50,3,1))+VALUE(MID(C50,9,1)))+4*(VALUE(MID(C50,4,1))+VALUE(MID(C50,10,1)))+3*(VALUE(MID(C50,5,1))+VALUE(MID(C50,11,1)))+2*(VALUE(MID(C50,6,1))+VALUE(MID(C50,12,1)))),"")</f>
        <v/>
      </c>
      <c r="J50">
        <f>IF(I50="","",IF(11-MOD(I50,11)&gt;9,0,11-MOD(I50,11)))</f>
        <v/>
      </c>
      <c r="K50">
        <f>IFERROR(IF(LEN(C50)&lt;&gt;13,"",IF(VALUE(MID(C50,5,3))&gt;=800,1000,2000)+VALUE(MID(C50,5,3))),"")</f>
        <v/>
      </c>
      <c r="L50">
        <f>IFERROR(IF(K50="","",IF(AND(DAY(DATE(K50,VALUE(MID(C50,3,2)),VALUE(MID(C50,1,2))))=VALUE(MID(C50,1,2)),MONTH(DATE(K50,VALUE(MID(C50,3,2)),VALUE(MID(C50,1,2))))=VALUE(MID(C50,3,2))),DATE(K50,VALUE(MID(C50,3,2)),VALUE(MID(C50,1,2))),"")),"")</f>
        <v/>
      </c>
    </row>
    <row r="51">
      <c r="A51" s="2" t="n"/>
      <c r="B51" s="2" t="n"/>
      <c r="C51" s="3" t="n"/>
      <c r="D51" s="2" t="n"/>
      <c r="E51" s="4" t="n"/>
      <c r="F51" s="2" t="n"/>
      <c r="G51" s="2" t="n"/>
      <c r="H51" s="2">
        <f>IF(C51="","",IF(LEN(C51)&lt;&gt;13,"Nema 13 cifara (ima "&amp;LEN(C51)&amp;")",IF(J51="","JMBG sadrži nešto što nije cifra",IF(L51="","Nepostojeći datum rođenja",IF(VALUE(MID(C51,13,1))&lt;&gt;J51,"Pogrešna kontrolna cifra — treba "&amp;J51,"✓ ispravan")))))</f>
        <v/>
      </c>
      <c r="I51">
        <f>IFERROR(IF(LEN(C51)&lt;&gt;13,"",7*(VALUE(MID(C51,1,1))+VALUE(MID(C51,7,1)))+6*(VALUE(MID(C51,2,1))+VALUE(MID(C51,8,1)))+5*(VALUE(MID(C51,3,1))+VALUE(MID(C51,9,1)))+4*(VALUE(MID(C51,4,1))+VALUE(MID(C51,10,1)))+3*(VALUE(MID(C51,5,1))+VALUE(MID(C51,11,1)))+2*(VALUE(MID(C51,6,1))+VALUE(MID(C51,12,1)))),"")</f>
        <v/>
      </c>
      <c r="J51">
        <f>IF(I51="","",IF(11-MOD(I51,11)&gt;9,0,11-MOD(I51,11)))</f>
        <v/>
      </c>
      <c r="K51">
        <f>IFERROR(IF(LEN(C51)&lt;&gt;13,"",IF(VALUE(MID(C51,5,3))&gt;=800,1000,2000)+VALUE(MID(C51,5,3))),"")</f>
        <v/>
      </c>
      <c r="L51">
        <f>IFERROR(IF(K51="","",IF(AND(DAY(DATE(K51,VALUE(MID(C51,3,2)),VALUE(MID(C51,1,2))))=VALUE(MID(C51,1,2)),MONTH(DATE(K51,VALUE(MID(C51,3,2)),VALUE(MID(C51,1,2))))=VALUE(MID(C51,3,2))),DATE(K51,VALUE(MID(C51,3,2)),VALUE(MID(C51,1,2))),"")),"")</f>
        <v/>
      </c>
    </row>
    <row r="52">
      <c r="A52" s="2" t="n"/>
      <c r="B52" s="2" t="n"/>
      <c r="C52" s="3" t="n"/>
      <c r="D52" s="2" t="n"/>
      <c r="E52" s="4" t="n"/>
      <c r="F52" s="2" t="n"/>
      <c r="G52" s="2" t="n"/>
      <c r="H52" s="2">
        <f>IF(C52="","",IF(LEN(C52)&lt;&gt;13,"Nema 13 cifara (ima "&amp;LEN(C52)&amp;")",IF(J52="","JMBG sadrži nešto što nije cifra",IF(L52="","Nepostojeći datum rođenja",IF(VALUE(MID(C52,13,1))&lt;&gt;J52,"Pogrešna kontrolna cifra — treba "&amp;J52,"✓ ispravan")))))</f>
        <v/>
      </c>
      <c r="I52">
        <f>IFERROR(IF(LEN(C52)&lt;&gt;13,"",7*(VALUE(MID(C52,1,1))+VALUE(MID(C52,7,1)))+6*(VALUE(MID(C52,2,1))+VALUE(MID(C52,8,1)))+5*(VALUE(MID(C52,3,1))+VALUE(MID(C52,9,1)))+4*(VALUE(MID(C52,4,1))+VALUE(MID(C52,10,1)))+3*(VALUE(MID(C52,5,1))+VALUE(MID(C52,11,1)))+2*(VALUE(MID(C52,6,1))+VALUE(MID(C52,12,1)))),"")</f>
        <v/>
      </c>
      <c r="J52">
        <f>IF(I52="","",IF(11-MOD(I52,11)&gt;9,0,11-MOD(I52,11)))</f>
        <v/>
      </c>
      <c r="K52">
        <f>IFERROR(IF(LEN(C52)&lt;&gt;13,"",IF(VALUE(MID(C52,5,3))&gt;=800,1000,2000)+VALUE(MID(C52,5,3))),"")</f>
        <v/>
      </c>
      <c r="L52">
        <f>IFERROR(IF(K52="","",IF(AND(DAY(DATE(K52,VALUE(MID(C52,3,2)),VALUE(MID(C52,1,2))))=VALUE(MID(C52,1,2)),MONTH(DATE(K52,VALUE(MID(C52,3,2)),VALUE(MID(C52,1,2))))=VALUE(MID(C52,3,2))),DATE(K52,VALUE(MID(C52,3,2)),VALUE(MID(C52,1,2))),"")),"")</f>
        <v/>
      </c>
    </row>
    <row r="53">
      <c r="A53" s="2" t="n"/>
      <c r="B53" s="2" t="n"/>
      <c r="C53" s="3" t="n"/>
      <c r="D53" s="2" t="n"/>
      <c r="E53" s="4" t="n"/>
      <c r="F53" s="2" t="n"/>
      <c r="G53" s="2" t="n"/>
      <c r="H53" s="2">
        <f>IF(C53="","",IF(LEN(C53)&lt;&gt;13,"Nema 13 cifara (ima "&amp;LEN(C53)&amp;")",IF(J53="","JMBG sadrži nešto što nije cifra",IF(L53="","Nepostojeći datum rođenja",IF(VALUE(MID(C53,13,1))&lt;&gt;J53,"Pogrešna kontrolna cifra — treba "&amp;J53,"✓ ispravan")))))</f>
        <v/>
      </c>
      <c r="I53">
        <f>IFERROR(IF(LEN(C53)&lt;&gt;13,"",7*(VALUE(MID(C53,1,1))+VALUE(MID(C53,7,1)))+6*(VALUE(MID(C53,2,1))+VALUE(MID(C53,8,1)))+5*(VALUE(MID(C53,3,1))+VALUE(MID(C53,9,1)))+4*(VALUE(MID(C53,4,1))+VALUE(MID(C53,10,1)))+3*(VALUE(MID(C53,5,1))+VALUE(MID(C53,11,1)))+2*(VALUE(MID(C53,6,1))+VALUE(MID(C53,12,1)))),"")</f>
        <v/>
      </c>
      <c r="J53">
        <f>IF(I53="","",IF(11-MOD(I53,11)&gt;9,0,11-MOD(I53,11)))</f>
        <v/>
      </c>
      <c r="K53">
        <f>IFERROR(IF(LEN(C53)&lt;&gt;13,"",IF(VALUE(MID(C53,5,3))&gt;=800,1000,2000)+VALUE(MID(C53,5,3))),"")</f>
        <v/>
      </c>
      <c r="L53">
        <f>IFERROR(IF(K53="","",IF(AND(DAY(DATE(K53,VALUE(MID(C53,3,2)),VALUE(MID(C53,1,2))))=VALUE(MID(C53,1,2)),MONTH(DATE(K53,VALUE(MID(C53,3,2)),VALUE(MID(C53,1,2))))=VALUE(MID(C53,3,2))),DATE(K53,VALUE(MID(C53,3,2)),VALUE(MID(C53,1,2))),"")),"")</f>
        <v/>
      </c>
    </row>
    <row r="54">
      <c r="A54" s="2" t="n"/>
      <c r="B54" s="2" t="n"/>
      <c r="C54" s="3" t="n"/>
      <c r="D54" s="2" t="n"/>
      <c r="E54" s="4" t="n"/>
      <c r="F54" s="2" t="n"/>
      <c r="G54" s="2" t="n"/>
      <c r="H54" s="2">
        <f>IF(C54="","",IF(LEN(C54)&lt;&gt;13,"Nema 13 cifara (ima "&amp;LEN(C54)&amp;")",IF(J54="","JMBG sadrži nešto što nije cifra",IF(L54="","Nepostojeći datum rođenja",IF(VALUE(MID(C54,13,1))&lt;&gt;J54,"Pogrešna kontrolna cifra — treba "&amp;J54,"✓ ispravan")))))</f>
        <v/>
      </c>
      <c r="I54">
        <f>IFERROR(IF(LEN(C54)&lt;&gt;13,"",7*(VALUE(MID(C54,1,1))+VALUE(MID(C54,7,1)))+6*(VALUE(MID(C54,2,1))+VALUE(MID(C54,8,1)))+5*(VALUE(MID(C54,3,1))+VALUE(MID(C54,9,1)))+4*(VALUE(MID(C54,4,1))+VALUE(MID(C54,10,1)))+3*(VALUE(MID(C54,5,1))+VALUE(MID(C54,11,1)))+2*(VALUE(MID(C54,6,1))+VALUE(MID(C54,12,1)))),"")</f>
        <v/>
      </c>
      <c r="J54">
        <f>IF(I54="","",IF(11-MOD(I54,11)&gt;9,0,11-MOD(I54,11)))</f>
        <v/>
      </c>
      <c r="K54">
        <f>IFERROR(IF(LEN(C54)&lt;&gt;13,"",IF(VALUE(MID(C54,5,3))&gt;=800,1000,2000)+VALUE(MID(C54,5,3))),"")</f>
        <v/>
      </c>
      <c r="L54">
        <f>IFERROR(IF(K54="","",IF(AND(DAY(DATE(K54,VALUE(MID(C54,3,2)),VALUE(MID(C54,1,2))))=VALUE(MID(C54,1,2)),MONTH(DATE(K54,VALUE(MID(C54,3,2)),VALUE(MID(C54,1,2))))=VALUE(MID(C54,3,2))),DATE(K54,VALUE(MID(C54,3,2)),VALUE(MID(C54,1,2))),"")),"")</f>
        <v/>
      </c>
    </row>
    <row r="55">
      <c r="A55" s="2" t="n"/>
      <c r="B55" s="2" t="n"/>
      <c r="C55" s="3" t="n"/>
      <c r="D55" s="2" t="n"/>
      <c r="E55" s="4" t="n"/>
      <c r="F55" s="2" t="n"/>
      <c r="G55" s="2" t="n"/>
      <c r="H55" s="2">
        <f>IF(C55="","",IF(LEN(C55)&lt;&gt;13,"Nema 13 cifara (ima "&amp;LEN(C55)&amp;")",IF(J55="","JMBG sadrži nešto što nije cifra",IF(L55="","Nepostojeći datum rođenja",IF(VALUE(MID(C55,13,1))&lt;&gt;J55,"Pogrešna kontrolna cifra — treba "&amp;J55,"✓ ispravan")))))</f>
        <v/>
      </c>
      <c r="I55">
        <f>IFERROR(IF(LEN(C55)&lt;&gt;13,"",7*(VALUE(MID(C55,1,1))+VALUE(MID(C55,7,1)))+6*(VALUE(MID(C55,2,1))+VALUE(MID(C55,8,1)))+5*(VALUE(MID(C55,3,1))+VALUE(MID(C55,9,1)))+4*(VALUE(MID(C55,4,1))+VALUE(MID(C55,10,1)))+3*(VALUE(MID(C55,5,1))+VALUE(MID(C55,11,1)))+2*(VALUE(MID(C55,6,1))+VALUE(MID(C55,12,1)))),"")</f>
        <v/>
      </c>
      <c r="J55">
        <f>IF(I55="","",IF(11-MOD(I55,11)&gt;9,0,11-MOD(I55,11)))</f>
        <v/>
      </c>
      <c r="K55">
        <f>IFERROR(IF(LEN(C55)&lt;&gt;13,"",IF(VALUE(MID(C55,5,3))&gt;=800,1000,2000)+VALUE(MID(C55,5,3))),"")</f>
        <v/>
      </c>
      <c r="L55">
        <f>IFERROR(IF(K55="","",IF(AND(DAY(DATE(K55,VALUE(MID(C55,3,2)),VALUE(MID(C55,1,2))))=VALUE(MID(C55,1,2)),MONTH(DATE(K55,VALUE(MID(C55,3,2)),VALUE(MID(C55,1,2))))=VALUE(MID(C55,3,2))),DATE(K55,VALUE(MID(C55,3,2)),VALUE(MID(C55,1,2))),"")),"")</f>
        <v/>
      </c>
    </row>
    <row r="56">
      <c r="A56" s="2" t="n"/>
      <c r="B56" s="2" t="n"/>
      <c r="C56" s="3" t="n"/>
      <c r="D56" s="2" t="n"/>
      <c r="E56" s="4" t="n"/>
      <c r="F56" s="2" t="n"/>
      <c r="G56" s="2" t="n"/>
      <c r="H56" s="2">
        <f>IF(C56="","",IF(LEN(C56)&lt;&gt;13,"Nema 13 cifara (ima "&amp;LEN(C56)&amp;")",IF(J56="","JMBG sadrži nešto što nije cifra",IF(L56="","Nepostojeći datum rođenja",IF(VALUE(MID(C56,13,1))&lt;&gt;J56,"Pogrešna kontrolna cifra — treba "&amp;J56,"✓ ispravan")))))</f>
        <v/>
      </c>
      <c r="I56">
        <f>IFERROR(IF(LEN(C56)&lt;&gt;13,"",7*(VALUE(MID(C56,1,1))+VALUE(MID(C56,7,1)))+6*(VALUE(MID(C56,2,1))+VALUE(MID(C56,8,1)))+5*(VALUE(MID(C56,3,1))+VALUE(MID(C56,9,1)))+4*(VALUE(MID(C56,4,1))+VALUE(MID(C56,10,1)))+3*(VALUE(MID(C56,5,1))+VALUE(MID(C56,11,1)))+2*(VALUE(MID(C56,6,1))+VALUE(MID(C56,12,1)))),"")</f>
        <v/>
      </c>
      <c r="J56">
        <f>IF(I56="","",IF(11-MOD(I56,11)&gt;9,0,11-MOD(I56,11)))</f>
        <v/>
      </c>
      <c r="K56">
        <f>IFERROR(IF(LEN(C56)&lt;&gt;13,"",IF(VALUE(MID(C56,5,3))&gt;=800,1000,2000)+VALUE(MID(C56,5,3))),"")</f>
        <v/>
      </c>
      <c r="L56">
        <f>IFERROR(IF(K56="","",IF(AND(DAY(DATE(K56,VALUE(MID(C56,3,2)),VALUE(MID(C56,1,2))))=VALUE(MID(C56,1,2)),MONTH(DATE(K56,VALUE(MID(C56,3,2)),VALUE(MID(C56,1,2))))=VALUE(MID(C56,3,2))),DATE(K56,VALUE(MID(C56,3,2)),VALUE(MID(C56,1,2))),"")),"")</f>
        <v/>
      </c>
    </row>
    <row r="57">
      <c r="A57" s="2" t="n"/>
      <c r="B57" s="2" t="n"/>
      <c r="C57" s="3" t="n"/>
      <c r="D57" s="2" t="n"/>
      <c r="E57" s="4" t="n"/>
      <c r="F57" s="2" t="n"/>
      <c r="G57" s="2" t="n"/>
      <c r="H57" s="2">
        <f>IF(C57="","",IF(LEN(C57)&lt;&gt;13,"Nema 13 cifara (ima "&amp;LEN(C57)&amp;")",IF(J57="","JMBG sadrži nešto što nije cifra",IF(L57="","Nepostojeći datum rođenja",IF(VALUE(MID(C57,13,1))&lt;&gt;J57,"Pogrešna kontrolna cifra — treba "&amp;J57,"✓ ispravan")))))</f>
        <v/>
      </c>
      <c r="I57">
        <f>IFERROR(IF(LEN(C57)&lt;&gt;13,"",7*(VALUE(MID(C57,1,1))+VALUE(MID(C57,7,1)))+6*(VALUE(MID(C57,2,1))+VALUE(MID(C57,8,1)))+5*(VALUE(MID(C57,3,1))+VALUE(MID(C57,9,1)))+4*(VALUE(MID(C57,4,1))+VALUE(MID(C57,10,1)))+3*(VALUE(MID(C57,5,1))+VALUE(MID(C57,11,1)))+2*(VALUE(MID(C57,6,1))+VALUE(MID(C57,12,1)))),"")</f>
        <v/>
      </c>
      <c r="J57">
        <f>IF(I57="","",IF(11-MOD(I57,11)&gt;9,0,11-MOD(I57,11)))</f>
        <v/>
      </c>
      <c r="K57">
        <f>IFERROR(IF(LEN(C57)&lt;&gt;13,"",IF(VALUE(MID(C57,5,3))&gt;=800,1000,2000)+VALUE(MID(C57,5,3))),"")</f>
        <v/>
      </c>
      <c r="L57">
        <f>IFERROR(IF(K57="","",IF(AND(DAY(DATE(K57,VALUE(MID(C57,3,2)),VALUE(MID(C57,1,2))))=VALUE(MID(C57,1,2)),MONTH(DATE(K57,VALUE(MID(C57,3,2)),VALUE(MID(C57,1,2))))=VALUE(MID(C57,3,2))),DATE(K57,VALUE(MID(C57,3,2)),VALUE(MID(C57,1,2))),"")),"")</f>
        <v/>
      </c>
    </row>
    <row r="58">
      <c r="A58" s="2" t="n"/>
      <c r="B58" s="2" t="n"/>
      <c r="C58" s="3" t="n"/>
      <c r="D58" s="2" t="n"/>
      <c r="E58" s="4" t="n"/>
      <c r="F58" s="2" t="n"/>
      <c r="G58" s="2" t="n"/>
      <c r="H58" s="2">
        <f>IF(C58="","",IF(LEN(C58)&lt;&gt;13,"Nema 13 cifara (ima "&amp;LEN(C58)&amp;")",IF(J58="","JMBG sadrži nešto što nije cifra",IF(L58="","Nepostojeći datum rođenja",IF(VALUE(MID(C58,13,1))&lt;&gt;J58,"Pogrešna kontrolna cifra — treba "&amp;J58,"✓ ispravan")))))</f>
        <v/>
      </c>
      <c r="I58">
        <f>IFERROR(IF(LEN(C58)&lt;&gt;13,"",7*(VALUE(MID(C58,1,1))+VALUE(MID(C58,7,1)))+6*(VALUE(MID(C58,2,1))+VALUE(MID(C58,8,1)))+5*(VALUE(MID(C58,3,1))+VALUE(MID(C58,9,1)))+4*(VALUE(MID(C58,4,1))+VALUE(MID(C58,10,1)))+3*(VALUE(MID(C58,5,1))+VALUE(MID(C58,11,1)))+2*(VALUE(MID(C58,6,1))+VALUE(MID(C58,12,1)))),"")</f>
        <v/>
      </c>
      <c r="J58">
        <f>IF(I58="","",IF(11-MOD(I58,11)&gt;9,0,11-MOD(I58,11)))</f>
        <v/>
      </c>
      <c r="K58">
        <f>IFERROR(IF(LEN(C58)&lt;&gt;13,"",IF(VALUE(MID(C58,5,3))&gt;=800,1000,2000)+VALUE(MID(C58,5,3))),"")</f>
        <v/>
      </c>
      <c r="L58">
        <f>IFERROR(IF(K58="","",IF(AND(DAY(DATE(K58,VALUE(MID(C58,3,2)),VALUE(MID(C58,1,2))))=VALUE(MID(C58,1,2)),MONTH(DATE(K58,VALUE(MID(C58,3,2)),VALUE(MID(C58,1,2))))=VALUE(MID(C58,3,2))),DATE(K58,VALUE(MID(C58,3,2)),VALUE(MID(C58,1,2))),"")),"")</f>
        <v/>
      </c>
    </row>
    <row r="59">
      <c r="A59" s="2" t="n"/>
      <c r="B59" s="2" t="n"/>
      <c r="C59" s="3" t="n"/>
      <c r="D59" s="2" t="n"/>
      <c r="E59" s="4" t="n"/>
      <c r="F59" s="2" t="n"/>
      <c r="G59" s="2" t="n"/>
      <c r="H59" s="2">
        <f>IF(C59="","",IF(LEN(C59)&lt;&gt;13,"Nema 13 cifara (ima "&amp;LEN(C59)&amp;")",IF(J59="","JMBG sadrži nešto što nije cifra",IF(L59="","Nepostojeći datum rođenja",IF(VALUE(MID(C59,13,1))&lt;&gt;J59,"Pogrešna kontrolna cifra — treba "&amp;J59,"✓ ispravan")))))</f>
        <v/>
      </c>
      <c r="I59">
        <f>IFERROR(IF(LEN(C59)&lt;&gt;13,"",7*(VALUE(MID(C59,1,1))+VALUE(MID(C59,7,1)))+6*(VALUE(MID(C59,2,1))+VALUE(MID(C59,8,1)))+5*(VALUE(MID(C59,3,1))+VALUE(MID(C59,9,1)))+4*(VALUE(MID(C59,4,1))+VALUE(MID(C59,10,1)))+3*(VALUE(MID(C59,5,1))+VALUE(MID(C59,11,1)))+2*(VALUE(MID(C59,6,1))+VALUE(MID(C59,12,1)))),"")</f>
        <v/>
      </c>
      <c r="J59">
        <f>IF(I59="","",IF(11-MOD(I59,11)&gt;9,0,11-MOD(I59,11)))</f>
        <v/>
      </c>
      <c r="K59">
        <f>IFERROR(IF(LEN(C59)&lt;&gt;13,"",IF(VALUE(MID(C59,5,3))&gt;=800,1000,2000)+VALUE(MID(C59,5,3))),"")</f>
        <v/>
      </c>
      <c r="L59">
        <f>IFERROR(IF(K59="","",IF(AND(DAY(DATE(K59,VALUE(MID(C59,3,2)),VALUE(MID(C59,1,2))))=VALUE(MID(C59,1,2)),MONTH(DATE(K59,VALUE(MID(C59,3,2)),VALUE(MID(C59,1,2))))=VALUE(MID(C59,3,2))),DATE(K59,VALUE(MID(C59,3,2)),VALUE(MID(C59,1,2))),"")),"")</f>
        <v/>
      </c>
    </row>
    <row r="60">
      <c r="A60" s="2" t="n"/>
      <c r="B60" s="2" t="n"/>
      <c r="C60" s="3" t="n"/>
      <c r="D60" s="2" t="n"/>
      <c r="E60" s="4" t="n"/>
      <c r="F60" s="2" t="n"/>
      <c r="G60" s="2" t="n"/>
      <c r="H60" s="2">
        <f>IF(C60="","",IF(LEN(C60)&lt;&gt;13,"Nema 13 cifara (ima "&amp;LEN(C60)&amp;")",IF(J60="","JMBG sadrži nešto što nije cifra",IF(L60="","Nepostojeći datum rođenja",IF(VALUE(MID(C60,13,1))&lt;&gt;J60,"Pogrešna kontrolna cifra — treba "&amp;J60,"✓ ispravan")))))</f>
        <v/>
      </c>
      <c r="I60">
        <f>IFERROR(IF(LEN(C60)&lt;&gt;13,"",7*(VALUE(MID(C60,1,1))+VALUE(MID(C60,7,1)))+6*(VALUE(MID(C60,2,1))+VALUE(MID(C60,8,1)))+5*(VALUE(MID(C60,3,1))+VALUE(MID(C60,9,1)))+4*(VALUE(MID(C60,4,1))+VALUE(MID(C60,10,1)))+3*(VALUE(MID(C60,5,1))+VALUE(MID(C60,11,1)))+2*(VALUE(MID(C60,6,1))+VALUE(MID(C60,12,1)))),"")</f>
        <v/>
      </c>
      <c r="J60">
        <f>IF(I60="","",IF(11-MOD(I60,11)&gt;9,0,11-MOD(I60,11)))</f>
        <v/>
      </c>
      <c r="K60">
        <f>IFERROR(IF(LEN(C60)&lt;&gt;13,"",IF(VALUE(MID(C60,5,3))&gt;=800,1000,2000)+VALUE(MID(C60,5,3))),"")</f>
        <v/>
      </c>
      <c r="L60">
        <f>IFERROR(IF(K60="","",IF(AND(DAY(DATE(K60,VALUE(MID(C60,3,2)),VALUE(MID(C60,1,2))))=VALUE(MID(C60,1,2)),MONTH(DATE(K60,VALUE(MID(C60,3,2)),VALUE(MID(C60,1,2))))=VALUE(MID(C60,3,2))),DATE(K60,VALUE(MID(C60,3,2)),VALUE(MID(C60,1,2))),"")),"")</f>
        <v/>
      </c>
    </row>
    <row r="61">
      <c r="A61" s="2" t="n"/>
      <c r="B61" s="2" t="n"/>
      <c r="C61" s="3" t="n"/>
      <c r="D61" s="2" t="n"/>
      <c r="E61" s="4" t="n"/>
      <c r="F61" s="2" t="n"/>
      <c r="G61" s="2" t="n"/>
      <c r="H61" s="2">
        <f>IF(C61="","",IF(LEN(C61)&lt;&gt;13,"Nema 13 cifara (ima "&amp;LEN(C61)&amp;")",IF(J61="","JMBG sadrži nešto što nije cifra",IF(L61="","Nepostojeći datum rođenja",IF(VALUE(MID(C61,13,1))&lt;&gt;J61,"Pogrešna kontrolna cifra — treba "&amp;J61,"✓ ispravan")))))</f>
        <v/>
      </c>
      <c r="I61">
        <f>IFERROR(IF(LEN(C61)&lt;&gt;13,"",7*(VALUE(MID(C61,1,1))+VALUE(MID(C61,7,1)))+6*(VALUE(MID(C61,2,1))+VALUE(MID(C61,8,1)))+5*(VALUE(MID(C61,3,1))+VALUE(MID(C61,9,1)))+4*(VALUE(MID(C61,4,1))+VALUE(MID(C61,10,1)))+3*(VALUE(MID(C61,5,1))+VALUE(MID(C61,11,1)))+2*(VALUE(MID(C61,6,1))+VALUE(MID(C61,12,1)))),"")</f>
        <v/>
      </c>
      <c r="J61">
        <f>IF(I61="","",IF(11-MOD(I61,11)&gt;9,0,11-MOD(I61,11)))</f>
        <v/>
      </c>
      <c r="K61">
        <f>IFERROR(IF(LEN(C61)&lt;&gt;13,"",IF(VALUE(MID(C61,5,3))&gt;=800,1000,2000)+VALUE(MID(C61,5,3))),"")</f>
        <v/>
      </c>
      <c r="L61">
        <f>IFERROR(IF(K61="","",IF(AND(DAY(DATE(K61,VALUE(MID(C61,3,2)),VALUE(MID(C61,1,2))))=VALUE(MID(C61,1,2)),MONTH(DATE(K61,VALUE(MID(C61,3,2)),VALUE(MID(C61,1,2))))=VALUE(MID(C61,3,2))),DATE(K61,VALUE(MID(C61,3,2)),VALUE(MID(C61,1,2))),"")),"")</f>
        <v/>
      </c>
    </row>
    <row r="62">
      <c r="A62" s="2" t="n"/>
      <c r="B62" s="2" t="n"/>
      <c r="C62" s="3" t="n"/>
      <c r="D62" s="2" t="n"/>
      <c r="E62" s="4" t="n"/>
      <c r="F62" s="2" t="n"/>
      <c r="G62" s="2" t="n"/>
      <c r="H62" s="2">
        <f>IF(C62="","",IF(LEN(C62)&lt;&gt;13,"Nema 13 cifara (ima "&amp;LEN(C62)&amp;")",IF(J62="","JMBG sadrži nešto što nije cifra",IF(L62="","Nepostojeći datum rođenja",IF(VALUE(MID(C62,13,1))&lt;&gt;J62,"Pogrešna kontrolna cifra — treba "&amp;J62,"✓ ispravan")))))</f>
        <v/>
      </c>
      <c r="I62">
        <f>IFERROR(IF(LEN(C62)&lt;&gt;13,"",7*(VALUE(MID(C62,1,1))+VALUE(MID(C62,7,1)))+6*(VALUE(MID(C62,2,1))+VALUE(MID(C62,8,1)))+5*(VALUE(MID(C62,3,1))+VALUE(MID(C62,9,1)))+4*(VALUE(MID(C62,4,1))+VALUE(MID(C62,10,1)))+3*(VALUE(MID(C62,5,1))+VALUE(MID(C62,11,1)))+2*(VALUE(MID(C62,6,1))+VALUE(MID(C62,12,1)))),"")</f>
        <v/>
      </c>
      <c r="J62">
        <f>IF(I62="","",IF(11-MOD(I62,11)&gt;9,0,11-MOD(I62,11)))</f>
        <v/>
      </c>
      <c r="K62">
        <f>IFERROR(IF(LEN(C62)&lt;&gt;13,"",IF(VALUE(MID(C62,5,3))&gt;=800,1000,2000)+VALUE(MID(C62,5,3))),"")</f>
        <v/>
      </c>
      <c r="L62">
        <f>IFERROR(IF(K62="","",IF(AND(DAY(DATE(K62,VALUE(MID(C62,3,2)),VALUE(MID(C62,1,2))))=VALUE(MID(C62,1,2)),MONTH(DATE(K62,VALUE(MID(C62,3,2)),VALUE(MID(C62,1,2))))=VALUE(MID(C62,3,2))),DATE(K62,VALUE(MID(C62,3,2)),VALUE(MID(C62,1,2))),"")),"")</f>
        <v/>
      </c>
    </row>
    <row r="63">
      <c r="A63" s="2" t="n"/>
      <c r="B63" s="2" t="n"/>
      <c r="C63" s="3" t="n"/>
      <c r="D63" s="2" t="n"/>
      <c r="E63" s="4" t="n"/>
      <c r="F63" s="2" t="n"/>
      <c r="G63" s="2" t="n"/>
      <c r="H63" s="2">
        <f>IF(C63="","",IF(LEN(C63)&lt;&gt;13,"Nema 13 cifara (ima "&amp;LEN(C63)&amp;")",IF(J63="","JMBG sadrži nešto što nije cifra",IF(L63="","Nepostojeći datum rođenja",IF(VALUE(MID(C63,13,1))&lt;&gt;J63,"Pogrešna kontrolna cifra — treba "&amp;J63,"✓ ispravan")))))</f>
        <v/>
      </c>
      <c r="I63">
        <f>IFERROR(IF(LEN(C63)&lt;&gt;13,"",7*(VALUE(MID(C63,1,1))+VALUE(MID(C63,7,1)))+6*(VALUE(MID(C63,2,1))+VALUE(MID(C63,8,1)))+5*(VALUE(MID(C63,3,1))+VALUE(MID(C63,9,1)))+4*(VALUE(MID(C63,4,1))+VALUE(MID(C63,10,1)))+3*(VALUE(MID(C63,5,1))+VALUE(MID(C63,11,1)))+2*(VALUE(MID(C63,6,1))+VALUE(MID(C63,12,1)))),"")</f>
        <v/>
      </c>
      <c r="J63">
        <f>IF(I63="","",IF(11-MOD(I63,11)&gt;9,0,11-MOD(I63,11)))</f>
        <v/>
      </c>
      <c r="K63">
        <f>IFERROR(IF(LEN(C63)&lt;&gt;13,"",IF(VALUE(MID(C63,5,3))&gt;=800,1000,2000)+VALUE(MID(C63,5,3))),"")</f>
        <v/>
      </c>
      <c r="L63">
        <f>IFERROR(IF(K63="","",IF(AND(DAY(DATE(K63,VALUE(MID(C63,3,2)),VALUE(MID(C63,1,2))))=VALUE(MID(C63,1,2)),MONTH(DATE(K63,VALUE(MID(C63,3,2)),VALUE(MID(C63,1,2))))=VALUE(MID(C63,3,2))),DATE(K63,VALUE(MID(C63,3,2)),VALUE(MID(C63,1,2))),"")),"")</f>
        <v/>
      </c>
    </row>
    <row r="64">
      <c r="A64" s="2" t="n"/>
      <c r="B64" s="2" t="n"/>
      <c r="C64" s="3" t="n"/>
      <c r="D64" s="2" t="n"/>
      <c r="E64" s="4" t="n"/>
      <c r="F64" s="2" t="n"/>
      <c r="G64" s="2" t="n"/>
      <c r="H64" s="2">
        <f>IF(C64="","",IF(LEN(C64)&lt;&gt;13,"Nema 13 cifara (ima "&amp;LEN(C64)&amp;")",IF(J64="","JMBG sadrži nešto što nije cifra",IF(L64="","Nepostojeći datum rođenja",IF(VALUE(MID(C64,13,1))&lt;&gt;J64,"Pogrešna kontrolna cifra — treba "&amp;J64,"✓ ispravan")))))</f>
        <v/>
      </c>
      <c r="I64">
        <f>IFERROR(IF(LEN(C64)&lt;&gt;13,"",7*(VALUE(MID(C64,1,1))+VALUE(MID(C64,7,1)))+6*(VALUE(MID(C64,2,1))+VALUE(MID(C64,8,1)))+5*(VALUE(MID(C64,3,1))+VALUE(MID(C64,9,1)))+4*(VALUE(MID(C64,4,1))+VALUE(MID(C64,10,1)))+3*(VALUE(MID(C64,5,1))+VALUE(MID(C64,11,1)))+2*(VALUE(MID(C64,6,1))+VALUE(MID(C64,12,1)))),"")</f>
        <v/>
      </c>
      <c r="J64">
        <f>IF(I64="","",IF(11-MOD(I64,11)&gt;9,0,11-MOD(I64,11)))</f>
        <v/>
      </c>
      <c r="K64">
        <f>IFERROR(IF(LEN(C64)&lt;&gt;13,"",IF(VALUE(MID(C64,5,3))&gt;=800,1000,2000)+VALUE(MID(C64,5,3))),"")</f>
        <v/>
      </c>
      <c r="L64">
        <f>IFERROR(IF(K64="","",IF(AND(DAY(DATE(K64,VALUE(MID(C64,3,2)),VALUE(MID(C64,1,2))))=VALUE(MID(C64,1,2)),MONTH(DATE(K64,VALUE(MID(C64,3,2)),VALUE(MID(C64,1,2))))=VALUE(MID(C64,3,2))),DATE(K64,VALUE(MID(C64,3,2)),VALUE(MID(C64,1,2))),"")),"")</f>
        <v/>
      </c>
    </row>
    <row r="65">
      <c r="A65" s="2" t="n"/>
      <c r="B65" s="2" t="n"/>
      <c r="C65" s="3" t="n"/>
      <c r="D65" s="2" t="n"/>
      <c r="E65" s="4" t="n"/>
      <c r="F65" s="2" t="n"/>
      <c r="G65" s="2" t="n"/>
      <c r="H65" s="2">
        <f>IF(C65="","",IF(LEN(C65)&lt;&gt;13,"Nema 13 cifara (ima "&amp;LEN(C65)&amp;")",IF(J65="","JMBG sadrži nešto što nije cifra",IF(L65="","Nepostojeći datum rođenja",IF(VALUE(MID(C65,13,1))&lt;&gt;J65,"Pogrešna kontrolna cifra — treba "&amp;J65,"✓ ispravan")))))</f>
        <v/>
      </c>
      <c r="I65">
        <f>IFERROR(IF(LEN(C65)&lt;&gt;13,"",7*(VALUE(MID(C65,1,1))+VALUE(MID(C65,7,1)))+6*(VALUE(MID(C65,2,1))+VALUE(MID(C65,8,1)))+5*(VALUE(MID(C65,3,1))+VALUE(MID(C65,9,1)))+4*(VALUE(MID(C65,4,1))+VALUE(MID(C65,10,1)))+3*(VALUE(MID(C65,5,1))+VALUE(MID(C65,11,1)))+2*(VALUE(MID(C65,6,1))+VALUE(MID(C65,12,1)))),"")</f>
        <v/>
      </c>
      <c r="J65">
        <f>IF(I65="","",IF(11-MOD(I65,11)&gt;9,0,11-MOD(I65,11)))</f>
        <v/>
      </c>
      <c r="K65">
        <f>IFERROR(IF(LEN(C65)&lt;&gt;13,"",IF(VALUE(MID(C65,5,3))&gt;=800,1000,2000)+VALUE(MID(C65,5,3))),"")</f>
        <v/>
      </c>
      <c r="L65">
        <f>IFERROR(IF(K65="","",IF(AND(DAY(DATE(K65,VALUE(MID(C65,3,2)),VALUE(MID(C65,1,2))))=VALUE(MID(C65,1,2)),MONTH(DATE(K65,VALUE(MID(C65,3,2)),VALUE(MID(C65,1,2))))=VALUE(MID(C65,3,2))),DATE(K65,VALUE(MID(C65,3,2)),VALUE(MID(C65,1,2))),"")),"")</f>
        <v/>
      </c>
    </row>
    <row r="66">
      <c r="A66" s="2" t="n"/>
      <c r="B66" s="2" t="n"/>
      <c r="C66" s="3" t="n"/>
      <c r="D66" s="2" t="n"/>
      <c r="E66" s="4" t="n"/>
      <c r="F66" s="2" t="n"/>
      <c r="G66" s="2" t="n"/>
      <c r="H66" s="2">
        <f>IF(C66="","",IF(LEN(C66)&lt;&gt;13,"Nema 13 cifara (ima "&amp;LEN(C66)&amp;")",IF(J66="","JMBG sadrži nešto što nije cifra",IF(L66="","Nepostojeći datum rođenja",IF(VALUE(MID(C66,13,1))&lt;&gt;J66,"Pogrešna kontrolna cifra — treba "&amp;J66,"✓ ispravan")))))</f>
        <v/>
      </c>
      <c r="I66">
        <f>IFERROR(IF(LEN(C66)&lt;&gt;13,"",7*(VALUE(MID(C66,1,1))+VALUE(MID(C66,7,1)))+6*(VALUE(MID(C66,2,1))+VALUE(MID(C66,8,1)))+5*(VALUE(MID(C66,3,1))+VALUE(MID(C66,9,1)))+4*(VALUE(MID(C66,4,1))+VALUE(MID(C66,10,1)))+3*(VALUE(MID(C66,5,1))+VALUE(MID(C66,11,1)))+2*(VALUE(MID(C66,6,1))+VALUE(MID(C66,12,1)))),"")</f>
        <v/>
      </c>
      <c r="J66">
        <f>IF(I66="","",IF(11-MOD(I66,11)&gt;9,0,11-MOD(I66,11)))</f>
        <v/>
      </c>
      <c r="K66">
        <f>IFERROR(IF(LEN(C66)&lt;&gt;13,"",IF(VALUE(MID(C66,5,3))&gt;=800,1000,2000)+VALUE(MID(C66,5,3))),"")</f>
        <v/>
      </c>
      <c r="L66">
        <f>IFERROR(IF(K66="","",IF(AND(DAY(DATE(K66,VALUE(MID(C66,3,2)),VALUE(MID(C66,1,2))))=VALUE(MID(C66,1,2)),MONTH(DATE(K66,VALUE(MID(C66,3,2)),VALUE(MID(C66,1,2))))=VALUE(MID(C66,3,2))),DATE(K66,VALUE(MID(C66,3,2)),VALUE(MID(C66,1,2))),"")),"")</f>
        <v/>
      </c>
    </row>
    <row r="67">
      <c r="A67" s="2" t="n"/>
      <c r="B67" s="2" t="n"/>
      <c r="C67" s="3" t="n"/>
      <c r="D67" s="2" t="n"/>
      <c r="E67" s="4" t="n"/>
      <c r="F67" s="2" t="n"/>
      <c r="G67" s="2" t="n"/>
      <c r="H67" s="2">
        <f>IF(C67="","",IF(LEN(C67)&lt;&gt;13,"Nema 13 cifara (ima "&amp;LEN(C67)&amp;")",IF(J67="","JMBG sadrži nešto što nije cifra",IF(L67="","Nepostojeći datum rođenja",IF(VALUE(MID(C67,13,1))&lt;&gt;J67,"Pogrešna kontrolna cifra — treba "&amp;J67,"✓ ispravan")))))</f>
        <v/>
      </c>
      <c r="I67">
        <f>IFERROR(IF(LEN(C67)&lt;&gt;13,"",7*(VALUE(MID(C67,1,1))+VALUE(MID(C67,7,1)))+6*(VALUE(MID(C67,2,1))+VALUE(MID(C67,8,1)))+5*(VALUE(MID(C67,3,1))+VALUE(MID(C67,9,1)))+4*(VALUE(MID(C67,4,1))+VALUE(MID(C67,10,1)))+3*(VALUE(MID(C67,5,1))+VALUE(MID(C67,11,1)))+2*(VALUE(MID(C67,6,1))+VALUE(MID(C67,12,1)))),"")</f>
        <v/>
      </c>
      <c r="J67">
        <f>IF(I67="","",IF(11-MOD(I67,11)&gt;9,0,11-MOD(I67,11)))</f>
        <v/>
      </c>
      <c r="K67">
        <f>IFERROR(IF(LEN(C67)&lt;&gt;13,"",IF(VALUE(MID(C67,5,3))&gt;=800,1000,2000)+VALUE(MID(C67,5,3))),"")</f>
        <v/>
      </c>
      <c r="L67">
        <f>IFERROR(IF(K67="","",IF(AND(DAY(DATE(K67,VALUE(MID(C67,3,2)),VALUE(MID(C67,1,2))))=VALUE(MID(C67,1,2)),MONTH(DATE(K67,VALUE(MID(C67,3,2)),VALUE(MID(C67,1,2))))=VALUE(MID(C67,3,2))),DATE(K67,VALUE(MID(C67,3,2)),VALUE(MID(C67,1,2))),"")),"")</f>
        <v/>
      </c>
    </row>
    <row r="68">
      <c r="A68" s="2" t="n"/>
      <c r="B68" s="2" t="n"/>
      <c r="C68" s="3" t="n"/>
      <c r="D68" s="2" t="n"/>
      <c r="E68" s="4" t="n"/>
      <c r="F68" s="2" t="n"/>
      <c r="G68" s="2" t="n"/>
      <c r="H68" s="2">
        <f>IF(C68="","",IF(LEN(C68)&lt;&gt;13,"Nema 13 cifara (ima "&amp;LEN(C68)&amp;")",IF(J68="","JMBG sadrži nešto što nije cifra",IF(L68="","Nepostojeći datum rođenja",IF(VALUE(MID(C68,13,1))&lt;&gt;J68,"Pogrešna kontrolna cifra — treba "&amp;J68,"✓ ispravan")))))</f>
        <v/>
      </c>
      <c r="I68">
        <f>IFERROR(IF(LEN(C68)&lt;&gt;13,"",7*(VALUE(MID(C68,1,1))+VALUE(MID(C68,7,1)))+6*(VALUE(MID(C68,2,1))+VALUE(MID(C68,8,1)))+5*(VALUE(MID(C68,3,1))+VALUE(MID(C68,9,1)))+4*(VALUE(MID(C68,4,1))+VALUE(MID(C68,10,1)))+3*(VALUE(MID(C68,5,1))+VALUE(MID(C68,11,1)))+2*(VALUE(MID(C68,6,1))+VALUE(MID(C68,12,1)))),"")</f>
        <v/>
      </c>
      <c r="J68">
        <f>IF(I68="","",IF(11-MOD(I68,11)&gt;9,0,11-MOD(I68,11)))</f>
        <v/>
      </c>
      <c r="K68">
        <f>IFERROR(IF(LEN(C68)&lt;&gt;13,"",IF(VALUE(MID(C68,5,3))&gt;=800,1000,2000)+VALUE(MID(C68,5,3))),"")</f>
        <v/>
      </c>
      <c r="L68">
        <f>IFERROR(IF(K68="","",IF(AND(DAY(DATE(K68,VALUE(MID(C68,3,2)),VALUE(MID(C68,1,2))))=VALUE(MID(C68,1,2)),MONTH(DATE(K68,VALUE(MID(C68,3,2)),VALUE(MID(C68,1,2))))=VALUE(MID(C68,3,2))),DATE(K68,VALUE(MID(C68,3,2)),VALUE(MID(C68,1,2))),"")),"")</f>
        <v/>
      </c>
    </row>
    <row r="69">
      <c r="A69" s="2" t="n"/>
      <c r="B69" s="2" t="n"/>
      <c r="C69" s="3" t="n"/>
      <c r="D69" s="2" t="n"/>
      <c r="E69" s="4" t="n"/>
      <c r="F69" s="2" t="n"/>
      <c r="G69" s="2" t="n"/>
      <c r="H69" s="2">
        <f>IF(C69="","",IF(LEN(C69)&lt;&gt;13,"Nema 13 cifara (ima "&amp;LEN(C69)&amp;")",IF(J69="","JMBG sadrži nešto što nije cifra",IF(L69="","Nepostojeći datum rođenja",IF(VALUE(MID(C69,13,1))&lt;&gt;J69,"Pogrešna kontrolna cifra — treba "&amp;J69,"✓ ispravan")))))</f>
        <v/>
      </c>
      <c r="I69">
        <f>IFERROR(IF(LEN(C69)&lt;&gt;13,"",7*(VALUE(MID(C69,1,1))+VALUE(MID(C69,7,1)))+6*(VALUE(MID(C69,2,1))+VALUE(MID(C69,8,1)))+5*(VALUE(MID(C69,3,1))+VALUE(MID(C69,9,1)))+4*(VALUE(MID(C69,4,1))+VALUE(MID(C69,10,1)))+3*(VALUE(MID(C69,5,1))+VALUE(MID(C69,11,1)))+2*(VALUE(MID(C69,6,1))+VALUE(MID(C69,12,1)))),"")</f>
        <v/>
      </c>
      <c r="J69">
        <f>IF(I69="","",IF(11-MOD(I69,11)&gt;9,0,11-MOD(I69,11)))</f>
        <v/>
      </c>
      <c r="K69">
        <f>IFERROR(IF(LEN(C69)&lt;&gt;13,"",IF(VALUE(MID(C69,5,3))&gt;=800,1000,2000)+VALUE(MID(C69,5,3))),"")</f>
        <v/>
      </c>
      <c r="L69">
        <f>IFERROR(IF(K69="","",IF(AND(DAY(DATE(K69,VALUE(MID(C69,3,2)),VALUE(MID(C69,1,2))))=VALUE(MID(C69,1,2)),MONTH(DATE(K69,VALUE(MID(C69,3,2)),VALUE(MID(C69,1,2))))=VALUE(MID(C69,3,2))),DATE(K69,VALUE(MID(C69,3,2)),VALUE(MID(C69,1,2))),"")),"")</f>
        <v/>
      </c>
    </row>
    <row r="70">
      <c r="A70" s="2" t="n"/>
      <c r="B70" s="2" t="n"/>
      <c r="C70" s="3" t="n"/>
      <c r="D70" s="2" t="n"/>
      <c r="E70" s="4" t="n"/>
      <c r="F70" s="2" t="n"/>
      <c r="G70" s="2" t="n"/>
      <c r="H70" s="2">
        <f>IF(C70="","",IF(LEN(C70)&lt;&gt;13,"Nema 13 cifara (ima "&amp;LEN(C70)&amp;")",IF(J70="","JMBG sadrži nešto što nije cifra",IF(L70="","Nepostojeći datum rođenja",IF(VALUE(MID(C70,13,1))&lt;&gt;J70,"Pogrešna kontrolna cifra — treba "&amp;J70,"✓ ispravan")))))</f>
        <v/>
      </c>
      <c r="I70">
        <f>IFERROR(IF(LEN(C70)&lt;&gt;13,"",7*(VALUE(MID(C70,1,1))+VALUE(MID(C70,7,1)))+6*(VALUE(MID(C70,2,1))+VALUE(MID(C70,8,1)))+5*(VALUE(MID(C70,3,1))+VALUE(MID(C70,9,1)))+4*(VALUE(MID(C70,4,1))+VALUE(MID(C70,10,1)))+3*(VALUE(MID(C70,5,1))+VALUE(MID(C70,11,1)))+2*(VALUE(MID(C70,6,1))+VALUE(MID(C70,12,1)))),"")</f>
        <v/>
      </c>
      <c r="J70">
        <f>IF(I70="","",IF(11-MOD(I70,11)&gt;9,0,11-MOD(I70,11)))</f>
        <v/>
      </c>
      <c r="K70">
        <f>IFERROR(IF(LEN(C70)&lt;&gt;13,"",IF(VALUE(MID(C70,5,3))&gt;=800,1000,2000)+VALUE(MID(C70,5,3))),"")</f>
        <v/>
      </c>
      <c r="L70">
        <f>IFERROR(IF(K70="","",IF(AND(DAY(DATE(K70,VALUE(MID(C70,3,2)),VALUE(MID(C70,1,2))))=VALUE(MID(C70,1,2)),MONTH(DATE(K70,VALUE(MID(C70,3,2)),VALUE(MID(C70,1,2))))=VALUE(MID(C70,3,2))),DATE(K70,VALUE(MID(C70,3,2)),VALUE(MID(C70,1,2))),"")),"")</f>
        <v/>
      </c>
    </row>
    <row r="71">
      <c r="A71" s="2" t="n"/>
      <c r="B71" s="2" t="n"/>
      <c r="C71" s="3" t="n"/>
      <c r="D71" s="2" t="n"/>
      <c r="E71" s="4" t="n"/>
      <c r="F71" s="2" t="n"/>
      <c r="G71" s="2" t="n"/>
      <c r="H71" s="2">
        <f>IF(C71="","",IF(LEN(C71)&lt;&gt;13,"Nema 13 cifara (ima "&amp;LEN(C71)&amp;")",IF(J71="","JMBG sadrži nešto što nije cifra",IF(L71="","Nepostojeći datum rođenja",IF(VALUE(MID(C71,13,1))&lt;&gt;J71,"Pogrešna kontrolna cifra — treba "&amp;J71,"✓ ispravan")))))</f>
        <v/>
      </c>
      <c r="I71">
        <f>IFERROR(IF(LEN(C71)&lt;&gt;13,"",7*(VALUE(MID(C71,1,1))+VALUE(MID(C71,7,1)))+6*(VALUE(MID(C71,2,1))+VALUE(MID(C71,8,1)))+5*(VALUE(MID(C71,3,1))+VALUE(MID(C71,9,1)))+4*(VALUE(MID(C71,4,1))+VALUE(MID(C71,10,1)))+3*(VALUE(MID(C71,5,1))+VALUE(MID(C71,11,1)))+2*(VALUE(MID(C71,6,1))+VALUE(MID(C71,12,1)))),"")</f>
        <v/>
      </c>
      <c r="J71">
        <f>IF(I71="","",IF(11-MOD(I71,11)&gt;9,0,11-MOD(I71,11)))</f>
        <v/>
      </c>
      <c r="K71">
        <f>IFERROR(IF(LEN(C71)&lt;&gt;13,"",IF(VALUE(MID(C71,5,3))&gt;=800,1000,2000)+VALUE(MID(C71,5,3))),"")</f>
        <v/>
      </c>
      <c r="L71">
        <f>IFERROR(IF(K71="","",IF(AND(DAY(DATE(K71,VALUE(MID(C71,3,2)),VALUE(MID(C71,1,2))))=VALUE(MID(C71,1,2)),MONTH(DATE(K71,VALUE(MID(C71,3,2)),VALUE(MID(C71,1,2))))=VALUE(MID(C71,3,2))),DATE(K71,VALUE(MID(C71,3,2)),VALUE(MID(C71,1,2))),"")),"")</f>
        <v/>
      </c>
    </row>
    <row r="72">
      <c r="A72" s="2" t="n"/>
      <c r="B72" s="2" t="n"/>
      <c r="C72" s="3" t="n"/>
      <c r="D72" s="2" t="n"/>
      <c r="E72" s="4" t="n"/>
      <c r="F72" s="2" t="n"/>
      <c r="G72" s="2" t="n"/>
      <c r="H72" s="2">
        <f>IF(C72="","",IF(LEN(C72)&lt;&gt;13,"Nema 13 cifara (ima "&amp;LEN(C72)&amp;")",IF(J72="","JMBG sadrži nešto što nije cifra",IF(L72="","Nepostojeći datum rođenja",IF(VALUE(MID(C72,13,1))&lt;&gt;J72,"Pogrešna kontrolna cifra — treba "&amp;J72,"✓ ispravan")))))</f>
        <v/>
      </c>
      <c r="I72">
        <f>IFERROR(IF(LEN(C72)&lt;&gt;13,"",7*(VALUE(MID(C72,1,1))+VALUE(MID(C72,7,1)))+6*(VALUE(MID(C72,2,1))+VALUE(MID(C72,8,1)))+5*(VALUE(MID(C72,3,1))+VALUE(MID(C72,9,1)))+4*(VALUE(MID(C72,4,1))+VALUE(MID(C72,10,1)))+3*(VALUE(MID(C72,5,1))+VALUE(MID(C72,11,1)))+2*(VALUE(MID(C72,6,1))+VALUE(MID(C72,12,1)))),"")</f>
        <v/>
      </c>
      <c r="J72">
        <f>IF(I72="","",IF(11-MOD(I72,11)&gt;9,0,11-MOD(I72,11)))</f>
        <v/>
      </c>
      <c r="K72">
        <f>IFERROR(IF(LEN(C72)&lt;&gt;13,"",IF(VALUE(MID(C72,5,3))&gt;=800,1000,2000)+VALUE(MID(C72,5,3))),"")</f>
        <v/>
      </c>
      <c r="L72">
        <f>IFERROR(IF(K72="","",IF(AND(DAY(DATE(K72,VALUE(MID(C72,3,2)),VALUE(MID(C72,1,2))))=VALUE(MID(C72,1,2)),MONTH(DATE(K72,VALUE(MID(C72,3,2)),VALUE(MID(C72,1,2))))=VALUE(MID(C72,3,2))),DATE(K72,VALUE(MID(C72,3,2)),VALUE(MID(C72,1,2))),"")),"")</f>
        <v/>
      </c>
    </row>
    <row r="73">
      <c r="A73" s="2" t="n"/>
      <c r="B73" s="2" t="n"/>
      <c r="C73" s="3" t="n"/>
      <c r="D73" s="2" t="n"/>
      <c r="E73" s="4" t="n"/>
      <c r="F73" s="2" t="n"/>
      <c r="G73" s="2" t="n"/>
      <c r="H73" s="2">
        <f>IF(C73="","",IF(LEN(C73)&lt;&gt;13,"Nema 13 cifara (ima "&amp;LEN(C73)&amp;")",IF(J73="","JMBG sadrži nešto što nije cifra",IF(L73="","Nepostojeći datum rođenja",IF(VALUE(MID(C73,13,1))&lt;&gt;J73,"Pogrešna kontrolna cifra — treba "&amp;J73,"✓ ispravan")))))</f>
        <v/>
      </c>
      <c r="I73">
        <f>IFERROR(IF(LEN(C73)&lt;&gt;13,"",7*(VALUE(MID(C73,1,1))+VALUE(MID(C73,7,1)))+6*(VALUE(MID(C73,2,1))+VALUE(MID(C73,8,1)))+5*(VALUE(MID(C73,3,1))+VALUE(MID(C73,9,1)))+4*(VALUE(MID(C73,4,1))+VALUE(MID(C73,10,1)))+3*(VALUE(MID(C73,5,1))+VALUE(MID(C73,11,1)))+2*(VALUE(MID(C73,6,1))+VALUE(MID(C73,12,1)))),"")</f>
        <v/>
      </c>
      <c r="J73">
        <f>IF(I73="","",IF(11-MOD(I73,11)&gt;9,0,11-MOD(I73,11)))</f>
        <v/>
      </c>
      <c r="K73">
        <f>IFERROR(IF(LEN(C73)&lt;&gt;13,"",IF(VALUE(MID(C73,5,3))&gt;=800,1000,2000)+VALUE(MID(C73,5,3))),"")</f>
        <v/>
      </c>
      <c r="L73">
        <f>IFERROR(IF(K73="","",IF(AND(DAY(DATE(K73,VALUE(MID(C73,3,2)),VALUE(MID(C73,1,2))))=VALUE(MID(C73,1,2)),MONTH(DATE(K73,VALUE(MID(C73,3,2)),VALUE(MID(C73,1,2))))=VALUE(MID(C73,3,2))),DATE(K73,VALUE(MID(C73,3,2)),VALUE(MID(C73,1,2))),"")),"")</f>
        <v/>
      </c>
    </row>
    <row r="74">
      <c r="A74" s="2" t="n"/>
      <c r="B74" s="2" t="n"/>
      <c r="C74" s="3" t="n"/>
      <c r="D74" s="2" t="n"/>
      <c r="E74" s="4" t="n"/>
      <c r="F74" s="2" t="n"/>
      <c r="G74" s="2" t="n"/>
      <c r="H74" s="2">
        <f>IF(C74="","",IF(LEN(C74)&lt;&gt;13,"Nema 13 cifara (ima "&amp;LEN(C74)&amp;")",IF(J74="","JMBG sadrži nešto što nije cifra",IF(L74="","Nepostojeći datum rođenja",IF(VALUE(MID(C74,13,1))&lt;&gt;J74,"Pogrešna kontrolna cifra — treba "&amp;J74,"✓ ispravan")))))</f>
        <v/>
      </c>
      <c r="I74">
        <f>IFERROR(IF(LEN(C74)&lt;&gt;13,"",7*(VALUE(MID(C74,1,1))+VALUE(MID(C74,7,1)))+6*(VALUE(MID(C74,2,1))+VALUE(MID(C74,8,1)))+5*(VALUE(MID(C74,3,1))+VALUE(MID(C74,9,1)))+4*(VALUE(MID(C74,4,1))+VALUE(MID(C74,10,1)))+3*(VALUE(MID(C74,5,1))+VALUE(MID(C74,11,1)))+2*(VALUE(MID(C74,6,1))+VALUE(MID(C74,12,1)))),"")</f>
        <v/>
      </c>
      <c r="J74">
        <f>IF(I74="","",IF(11-MOD(I74,11)&gt;9,0,11-MOD(I74,11)))</f>
        <v/>
      </c>
      <c r="K74">
        <f>IFERROR(IF(LEN(C74)&lt;&gt;13,"",IF(VALUE(MID(C74,5,3))&gt;=800,1000,2000)+VALUE(MID(C74,5,3))),"")</f>
        <v/>
      </c>
      <c r="L74">
        <f>IFERROR(IF(K74="","",IF(AND(DAY(DATE(K74,VALUE(MID(C74,3,2)),VALUE(MID(C74,1,2))))=VALUE(MID(C74,1,2)),MONTH(DATE(K74,VALUE(MID(C74,3,2)),VALUE(MID(C74,1,2))))=VALUE(MID(C74,3,2))),DATE(K74,VALUE(MID(C74,3,2)),VALUE(MID(C74,1,2))),"")),"")</f>
        <v/>
      </c>
    </row>
    <row r="75">
      <c r="A75" s="2" t="n"/>
      <c r="B75" s="2" t="n"/>
      <c r="C75" s="3" t="n"/>
      <c r="D75" s="2" t="n"/>
      <c r="E75" s="4" t="n"/>
      <c r="F75" s="2" t="n"/>
      <c r="G75" s="2" t="n"/>
      <c r="H75" s="2">
        <f>IF(C75="","",IF(LEN(C75)&lt;&gt;13,"Nema 13 cifara (ima "&amp;LEN(C75)&amp;")",IF(J75="","JMBG sadrži nešto što nije cifra",IF(L75="","Nepostojeći datum rođenja",IF(VALUE(MID(C75,13,1))&lt;&gt;J75,"Pogrešna kontrolna cifra — treba "&amp;J75,"✓ ispravan")))))</f>
        <v/>
      </c>
      <c r="I75">
        <f>IFERROR(IF(LEN(C75)&lt;&gt;13,"",7*(VALUE(MID(C75,1,1))+VALUE(MID(C75,7,1)))+6*(VALUE(MID(C75,2,1))+VALUE(MID(C75,8,1)))+5*(VALUE(MID(C75,3,1))+VALUE(MID(C75,9,1)))+4*(VALUE(MID(C75,4,1))+VALUE(MID(C75,10,1)))+3*(VALUE(MID(C75,5,1))+VALUE(MID(C75,11,1)))+2*(VALUE(MID(C75,6,1))+VALUE(MID(C75,12,1)))),"")</f>
        <v/>
      </c>
      <c r="J75">
        <f>IF(I75="","",IF(11-MOD(I75,11)&gt;9,0,11-MOD(I75,11)))</f>
        <v/>
      </c>
      <c r="K75">
        <f>IFERROR(IF(LEN(C75)&lt;&gt;13,"",IF(VALUE(MID(C75,5,3))&gt;=800,1000,2000)+VALUE(MID(C75,5,3))),"")</f>
        <v/>
      </c>
      <c r="L75">
        <f>IFERROR(IF(K75="","",IF(AND(DAY(DATE(K75,VALUE(MID(C75,3,2)),VALUE(MID(C75,1,2))))=VALUE(MID(C75,1,2)),MONTH(DATE(K75,VALUE(MID(C75,3,2)),VALUE(MID(C75,1,2))))=VALUE(MID(C75,3,2))),DATE(K75,VALUE(MID(C75,3,2)),VALUE(MID(C75,1,2))),"")),"")</f>
        <v/>
      </c>
    </row>
    <row r="76">
      <c r="A76" s="2" t="n"/>
      <c r="B76" s="2" t="n"/>
      <c r="C76" s="3" t="n"/>
      <c r="D76" s="2" t="n"/>
      <c r="E76" s="4" t="n"/>
      <c r="F76" s="2" t="n"/>
      <c r="G76" s="2" t="n"/>
      <c r="H76" s="2">
        <f>IF(C76="","",IF(LEN(C76)&lt;&gt;13,"Nema 13 cifara (ima "&amp;LEN(C76)&amp;")",IF(J76="","JMBG sadrži nešto što nije cifra",IF(L76="","Nepostojeći datum rođenja",IF(VALUE(MID(C76,13,1))&lt;&gt;J76,"Pogrešna kontrolna cifra — treba "&amp;J76,"✓ ispravan")))))</f>
        <v/>
      </c>
      <c r="I76">
        <f>IFERROR(IF(LEN(C76)&lt;&gt;13,"",7*(VALUE(MID(C76,1,1))+VALUE(MID(C76,7,1)))+6*(VALUE(MID(C76,2,1))+VALUE(MID(C76,8,1)))+5*(VALUE(MID(C76,3,1))+VALUE(MID(C76,9,1)))+4*(VALUE(MID(C76,4,1))+VALUE(MID(C76,10,1)))+3*(VALUE(MID(C76,5,1))+VALUE(MID(C76,11,1)))+2*(VALUE(MID(C76,6,1))+VALUE(MID(C76,12,1)))),"")</f>
        <v/>
      </c>
      <c r="J76">
        <f>IF(I76="","",IF(11-MOD(I76,11)&gt;9,0,11-MOD(I76,11)))</f>
        <v/>
      </c>
      <c r="K76">
        <f>IFERROR(IF(LEN(C76)&lt;&gt;13,"",IF(VALUE(MID(C76,5,3))&gt;=800,1000,2000)+VALUE(MID(C76,5,3))),"")</f>
        <v/>
      </c>
      <c r="L76">
        <f>IFERROR(IF(K76="","",IF(AND(DAY(DATE(K76,VALUE(MID(C76,3,2)),VALUE(MID(C76,1,2))))=VALUE(MID(C76,1,2)),MONTH(DATE(K76,VALUE(MID(C76,3,2)),VALUE(MID(C76,1,2))))=VALUE(MID(C76,3,2))),DATE(K76,VALUE(MID(C76,3,2)),VALUE(MID(C76,1,2))),"")),"")</f>
        <v/>
      </c>
    </row>
    <row r="77">
      <c r="A77" s="2" t="n"/>
      <c r="B77" s="2" t="n"/>
      <c r="C77" s="3" t="n"/>
      <c r="D77" s="2" t="n"/>
      <c r="E77" s="4" t="n"/>
      <c r="F77" s="2" t="n"/>
      <c r="G77" s="2" t="n"/>
      <c r="H77" s="2">
        <f>IF(C77="","",IF(LEN(C77)&lt;&gt;13,"Nema 13 cifara (ima "&amp;LEN(C77)&amp;")",IF(J77="","JMBG sadrži nešto što nije cifra",IF(L77="","Nepostojeći datum rođenja",IF(VALUE(MID(C77,13,1))&lt;&gt;J77,"Pogrešna kontrolna cifra — treba "&amp;J77,"✓ ispravan")))))</f>
        <v/>
      </c>
      <c r="I77">
        <f>IFERROR(IF(LEN(C77)&lt;&gt;13,"",7*(VALUE(MID(C77,1,1))+VALUE(MID(C77,7,1)))+6*(VALUE(MID(C77,2,1))+VALUE(MID(C77,8,1)))+5*(VALUE(MID(C77,3,1))+VALUE(MID(C77,9,1)))+4*(VALUE(MID(C77,4,1))+VALUE(MID(C77,10,1)))+3*(VALUE(MID(C77,5,1))+VALUE(MID(C77,11,1)))+2*(VALUE(MID(C77,6,1))+VALUE(MID(C77,12,1)))),"")</f>
        <v/>
      </c>
      <c r="J77">
        <f>IF(I77="","",IF(11-MOD(I77,11)&gt;9,0,11-MOD(I77,11)))</f>
        <v/>
      </c>
      <c r="K77">
        <f>IFERROR(IF(LEN(C77)&lt;&gt;13,"",IF(VALUE(MID(C77,5,3))&gt;=800,1000,2000)+VALUE(MID(C77,5,3))),"")</f>
        <v/>
      </c>
      <c r="L77">
        <f>IFERROR(IF(K77="","",IF(AND(DAY(DATE(K77,VALUE(MID(C77,3,2)),VALUE(MID(C77,1,2))))=VALUE(MID(C77,1,2)),MONTH(DATE(K77,VALUE(MID(C77,3,2)),VALUE(MID(C77,1,2))))=VALUE(MID(C77,3,2))),DATE(K77,VALUE(MID(C77,3,2)),VALUE(MID(C77,1,2))),"")),"")</f>
        <v/>
      </c>
    </row>
    <row r="78">
      <c r="A78" s="2" t="n"/>
      <c r="B78" s="2" t="n"/>
      <c r="C78" s="3" t="n"/>
      <c r="D78" s="2" t="n"/>
      <c r="E78" s="4" t="n"/>
      <c r="F78" s="2" t="n"/>
      <c r="G78" s="2" t="n"/>
      <c r="H78" s="2">
        <f>IF(C78="","",IF(LEN(C78)&lt;&gt;13,"Nema 13 cifara (ima "&amp;LEN(C78)&amp;")",IF(J78="","JMBG sadrži nešto što nije cifra",IF(L78="","Nepostojeći datum rođenja",IF(VALUE(MID(C78,13,1))&lt;&gt;J78,"Pogrešna kontrolna cifra — treba "&amp;J78,"✓ ispravan")))))</f>
        <v/>
      </c>
      <c r="I78">
        <f>IFERROR(IF(LEN(C78)&lt;&gt;13,"",7*(VALUE(MID(C78,1,1))+VALUE(MID(C78,7,1)))+6*(VALUE(MID(C78,2,1))+VALUE(MID(C78,8,1)))+5*(VALUE(MID(C78,3,1))+VALUE(MID(C78,9,1)))+4*(VALUE(MID(C78,4,1))+VALUE(MID(C78,10,1)))+3*(VALUE(MID(C78,5,1))+VALUE(MID(C78,11,1)))+2*(VALUE(MID(C78,6,1))+VALUE(MID(C78,12,1)))),"")</f>
        <v/>
      </c>
      <c r="J78">
        <f>IF(I78="","",IF(11-MOD(I78,11)&gt;9,0,11-MOD(I78,11)))</f>
        <v/>
      </c>
      <c r="K78">
        <f>IFERROR(IF(LEN(C78)&lt;&gt;13,"",IF(VALUE(MID(C78,5,3))&gt;=800,1000,2000)+VALUE(MID(C78,5,3))),"")</f>
        <v/>
      </c>
      <c r="L78">
        <f>IFERROR(IF(K78="","",IF(AND(DAY(DATE(K78,VALUE(MID(C78,3,2)),VALUE(MID(C78,1,2))))=VALUE(MID(C78,1,2)),MONTH(DATE(K78,VALUE(MID(C78,3,2)),VALUE(MID(C78,1,2))))=VALUE(MID(C78,3,2))),DATE(K78,VALUE(MID(C78,3,2)),VALUE(MID(C78,1,2))),"")),"")</f>
        <v/>
      </c>
    </row>
    <row r="79">
      <c r="A79" s="2" t="n"/>
      <c r="B79" s="2" t="n"/>
      <c r="C79" s="3" t="n"/>
      <c r="D79" s="2" t="n"/>
      <c r="E79" s="4" t="n"/>
      <c r="F79" s="2" t="n"/>
      <c r="G79" s="2" t="n"/>
      <c r="H79" s="2">
        <f>IF(C79="","",IF(LEN(C79)&lt;&gt;13,"Nema 13 cifara (ima "&amp;LEN(C79)&amp;")",IF(J79="","JMBG sadrži nešto što nije cifra",IF(L79="","Nepostojeći datum rođenja",IF(VALUE(MID(C79,13,1))&lt;&gt;J79,"Pogrešna kontrolna cifra — treba "&amp;J79,"✓ ispravan")))))</f>
        <v/>
      </c>
      <c r="I79">
        <f>IFERROR(IF(LEN(C79)&lt;&gt;13,"",7*(VALUE(MID(C79,1,1))+VALUE(MID(C79,7,1)))+6*(VALUE(MID(C79,2,1))+VALUE(MID(C79,8,1)))+5*(VALUE(MID(C79,3,1))+VALUE(MID(C79,9,1)))+4*(VALUE(MID(C79,4,1))+VALUE(MID(C79,10,1)))+3*(VALUE(MID(C79,5,1))+VALUE(MID(C79,11,1)))+2*(VALUE(MID(C79,6,1))+VALUE(MID(C79,12,1)))),"")</f>
        <v/>
      </c>
      <c r="J79">
        <f>IF(I79="","",IF(11-MOD(I79,11)&gt;9,0,11-MOD(I79,11)))</f>
        <v/>
      </c>
      <c r="K79">
        <f>IFERROR(IF(LEN(C79)&lt;&gt;13,"",IF(VALUE(MID(C79,5,3))&gt;=800,1000,2000)+VALUE(MID(C79,5,3))),"")</f>
        <v/>
      </c>
      <c r="L79">
        <f>IFERROR(IF(K79="","",IF(AND(DAY(DATE(K79,VALUE(MID(C79,3,2)),VALUE(MID(C79,1,2))))=VALUE(MID(C79,1,2)),MONTH(DATE(K79,VALUE(MID(C79,3,2)),VALUE(MID(C79,1,2))))=VALUE(MID(C79,3,2))),DATE(K79,VALUE(MID(C79,3,2)),VALUE(MID(C79,1,2))),"")),"")</f>
        <v/>
      </c>
    </row>
    <row r="80">
      <c r="A80" s="2" t="n"/>
      <c r="B80" s="2" t="n"/>
      <c r="C80" s="3" t="n"/>
      <c r="D80" s="2" t="n"/>
      <c r="E80" s="4" t="n"/>
      <c r="F80" s="2" t="n"/>
      <c r="G80" s="2" t="n"/>
      <c r="H80" s="2">
        <f>IF(C80="","",IF(LEN(C80)&lt;&gt;13,"Nema 13 cifara (ima "&amp;LEN(C80)&amp;")",IF(J80="","JMBG sadrži nešto što nije cifra",IF(L80="","Nepostojeći datum rođenja",IF(VALUE(MID(C80,13,1))&lt;&gt;J80,"Pogrešna kontrolna cifra — treba "&amp;J80,"✓ ispravan")))))</f>
        <v/>
      </c>
      <c r="I80">
        <f>IFERROR(IF(LEN(C80)&lt;&gt;13,"",7*(VALUE(MID(C80,1,1))+VALUE(MID(C80,7,1)))+6*(VALUE(MID(C80,2,1))+VALUE(MID(C80,8,1)))+5*(VALUE(MID(C80,3,1))+VALUE(MID(C80,9,1)))+4*(VALUE(MID(C80,4,1))+VALUE(MID(C80,10,1)))+3*(VALUE(MID(C80,5,1))+VALUE(MID(C80,11,1)))+2*(VALUE(MID(C80,6,1))+VALUE(MID(C80,12,1)))),"")</f>
        <v/>
      </c>
      <c r="J80">
        <f>IF(I80="","",IF(11-MOD(I80,11)&gt;9,0,11-MOD(I80,11)))</f>
        <v/>
      </c>
      <c r="K80">
        <f>IFERROR(IF(LEN(C80)&lt;&gt;13,"",IF(VALUE(MID(C80,5,3))&gt;=800,1000,2000)+VALUE(MID(C80,5,3))),"")</f>
        <v/>
      </c>
      <c r="L80">
        <f>IFERROR(IF(K80="","",IF(AND(DAY(DATE(K80,VALUE(MID(C80,3,2)),VALUE(MID(C80,1,2))))=VALUE(MID(C80,1,2)),MONTH(DATE(K80,VALUE(MID(C80,3,2)),VALUE(MID(C80,1,2))))=VALUE(MID(C80,3,2))),DATE(K80,VALUE(MID(C80,3,2)),VALUE(MID(C80,1,2))),"")),"")</f>
        <v/>
      </c>
    </row>
    <row r="81">
      <c r="A81" s="2" t="n"/>
      <c r="B81" s="2" t="n"/>
      <c r="C81" s="3" t="n"/>
      <c r="D81" s="2" t="n"/>
      <c r="E81" s="4" t="n"/>
      <c r="F81" s="2" t="n"/>
      <c r="G81" s="2" t="n"/>
      <c r="H81" s="2">
        <f>IF(C81="","",IF(LEN(C81)&lt;&gt;13,"Nema 13 cifara (ima "&amp;LEN(C81)&amp;")",IF(J81="","JMBG sadrži nešto što nije cifra",IF(L81="","Nepostojeći datum rođenja",IF(VALUE(MID(C81,13,1))&lt;&gt;J81,"Pogrešna kontrolna cifra — treba "&amp;J81,"✓ ispravan")))))</f>
        <v/>
      </c>
      <c r="I81">
        <f>IFERROR(IF(LEN(C81)&lt;&gt;13,"",7*(VALUE(MID(C81,1,1))+VALUE(MID(C81,7,1)))+6*(VALUE(MID(C81,2,1))+VALUE(MID(C81,8,1)))+5*(VALUE(MID(C81,3,1))+VALUE(MID(C81,9,1)))+4*(VALUE(MID(C81,4,1))+VALUE(MID(C81,10,1)))+3*(VALUE(MID(C81,5,1))+VALUE(MID(C81,11,1)))+2*(VALUE(MID(C81,6,1))+VALUE(MID(C81,12,1)))),"")</f>
        <v/>
      </c>
      <c r="J81">
        <f>IF(I81="","",IF(11-MOD(I81,11)&gt;9,0,11-MOD(I81,11)))</f>
        <v/>
      </c>
      <c r="K81">
        <f>IFERROR(IF(LEN(C81)&lt;&gt;13,"",IF(VALUE(MID(C81,5,3))&gt;=800,1000,2000)+VALUE(MID(C81,5,3))),"")</f>
        <v/>
      </c>
      <c r="L81">
        <f>IFERROR(IF(K81="","",IF(AND(DAY(DATE(K81,VALUE(MID(C81,3,2)),VALUE(MID(C81,1,2))))=VALUE(MID(C81,1,2)),MONTH(DATE(K81,VALUE(MID(C81,3,2)),VALUE(MID(C81,1,2))))=VALUE(MID(C81,3,2))),DATE(K81,VALUE(MID(C81,3,2)),VALUE(MID(C81,1,2))),"")),"")</f>
        <v/>
      </c>
    </row>
    <row r="82">
      <c r="A82" s="2" t="n"/>
      <c r="B82" s="2" t="n"/>
      <c r="C82" s="3" t="n"/>
      <c r="D82" s="2" t="n"/>
      <c r="E82" s="4" t="n"/>
      <c r="F82" s="2" t="n"/>
      <c r="G82" s="2" t="n"/>
      <c r="H82" s="2">
        <f>IF(C82="","",IF(LEN(C82)&lt;&gt;13,"Nema 13 cifara (ima "&amp;LEN(C82)&amp;")",IF(J82="","JMBG sadrži nešto što nije cifra",IF(L82="","Nepostojeći datum rođenja",IF(VALUE(MID(C82,13,1))&lt;&gt;J82,"Pogrešna kontrolna cifra — treba "&amp;J82,"✓ ispravan")))))</f>
        <v/>
      </c>
      <c r="I82">
        <f>IFERROR(IF(LEN(C82)&lt;&gt;13,"",7*(VALUE(MID(C82,1,1))+VALUE(MID(C82,7,1)))+6*(VALUE(MID(C82,2,1))+VALUE(MID(C82,8,1)))+5*(VALUE(MID(C82,3,1))+VALUE(MID(C82,9,1)))+4*(VALUE(MID(C82,4,1))+VALUE(MID(C82,10,1)))+3*(VALUE(MID(C82,5,1))+VALUE(MID(C82,11,1)))+2*(VALUE(MID(C82,6,1))+VALUE(MID(C82,12,1)))),"")</f>
        <v/>
      </c>
      <c r="J82">
        <f>IF(I82="","",IF(11-MOD(I82,11)&gt;9,0,11-MOD(I82,11)))</f>
        <v/>
      </c>
      <c r="K82">
        <f>IFERROR(IF(LEN(C82)&lt;&gt;13,"",IF(VALUE(MID(C82,5,3))&gt;=800,1000,2000)+VALUE(MID(C82,5,3))),"")</f>
        <v/>
      </c>
      <c r="L82">
        <f>IFERROR(IF(K82="","",IF(AND(DAY(DATE(K82,VALUE(MID(C82,3,2)),VALUE(MID(C82,1,2))))=VALUE(MID(C82,1,2)),MONTH(DATE(K82,VALUE(MID(C82,3,2)),VALUE(MID(C82,1,2))))=VALUE(MID(C82,3,2))),DATE(K82,VALUE(MID(C82,3,2)),VALUE(MID(C82,1,2))),"")),"")</f>
        <v/>
      </c>
    </row>
    <row r="83">
      <c r="A83" s="2" t="n"/>
      <c r="B83" s="2" t="n"/>
      <c r="C83" s="3" t="n"/>
      <c r="D83" s="2" t="n"/>
      <c r="E83" s="4" t="n"/>
      <c r="F83" s="2" t="n"/>
      <c r="G83" s="2" t="n"/>
      <c r="H83" s="2">
        <f>IF(C83="","",IF(LEN(C83)&lt;&gt;13,"Nema 13 cifara (ima "&amp;LEN(C83)&amp;")",IF(J83="","JMBG sadrži nešto što nije cifra",IF(L83="","Nepostojeći datum rođenja",IF(VALUE(MID(C83,13,1))&lt;&gt;J83,"Pogrešna kontrolna cifra — treba "&amp;J83,"✓ ispravan")))))</f>
        <v/>
      </c>
      <c r="I83">
        <f>IFERROR(IF(LEN(C83)&lt;&gt;13,"",7*(VALUE(MID(C83,1,1))+VALUE(MID(C83,7,1)))+6*(VALUE(MID(C83,2,1))+VALUE(MID(C83,8,1)))+5*(VALUE(MID(C83,3,1))+VALUE(MID(C83,9,1)))+4*(VALUE(MID(C83,4,1))+VALUE(MID(C83,10,1)))+3*(VALUE(MID(C83,5,1))+VALUE(MID(C83,11,1)))+2*(VALUE(MID(C83,6,1))+VALUE(MID(C83,12,1)))),"")</f>
        <v/>
      </c>
      <c r="J83">
        <f>IF(I83="","",IF(11-MOD(I83,11)&gt;9,0,11-MOD(I83,11)))</f>
        <v/>
      </c>
      <c r="K83">
        <f>IFERROR(IF(LEN(C83)&lt;&gt;13,"",IF(VALUE(MID(C83,5,3))&gt;=800,1000,2000)+VALUE(MID(C83,5,3))),"")</f>
        <v/>
      </c>
      <c r="L83">
        <f>IFERROR(IF(K83="","",IF(AND(DAY(DATE(K83,VALUE(MID(C83,3,2)),VALUE(MID(C83,1,2))))=VALUE(MID(C83,1,2)),MONTH(DATE(K83,VALUE(MID(C83,3,2)),VALUE(MID(C83,1,2))))=VALUE(MID(C83,3,2))),DATE(K83,VALUE(MID(C83,3,2)),VALUE(MID(C83,1,2))),"")),"")</f>
        <v/>
      </c>
    </row>
    <row r="84">
      <c r="A84" s="2" t="n"/>
      <c r="B84" s="2" t="n"/>
      <c r="C84" s="3" t="n"/>
      <c r="D84" s="2" t="n"/>
      <c r="E84" s="4" t="n"/>
      <c r="F84" s="2" t="n"/>
      <c r="G84" s="2" t="n"/>
      <c r="H84" s="2">
        <f>IF(C84="","",IF(LEN(C84)&lt;&gt;13,"Nema 13 cifara (ima "&amp;LEN(C84)&amp;")",IF(J84="","JMBG sadrži nešto što nije cifra",IF(L84="","Nepostojeći datum rođenja",IF(VALUE(MID(C84,13,1))&lt;&gt;J84,"Pogrešna kontrolna cifra — treba "&amp;J84,"✓ ispravan")))))</f>
        <v/>
      </c>
      <c r="I84">
        <f>IFERROR(IF(LEN(C84)&lt;&gt;13,"",7*(VALUE(MID(C84,1,1))+VALUE(MID(C84,7,1)))+6*(VALUE(MID(C84,2,1))+VALUE(MID(C84,8,1)))+5*(VALUE(MID(C84,3,1))+VALUE(MID(C84,9,1)))+4*(VALUE(MID(C84,4,1))+VALUE(MID(C84,10,1)))+3*(VALUE(MID(C84,5,1))+VALUE(MID(C84,11,1)))+2*(VALUE(MID(C84,6,1))+VALUE(MID(C84,12,1)))),"")</f>
        <v/>
      </c>
      <c r="J84">
        <f>IF(I84="","",IF(11-MOD(I84,11)&gt;9,0,11-MOD(I84,11)))</f>
        <v/>
      </c>
      <c r="K84">
        <f>IFERROR(IF(LEN(C84)&lt;&gt;13,"",IF(VALUE(MID(C84,5,3))&gt;=800,1000,2000)+VALUE(MID(C84,5,3))),"")</f>
        <v/>
      </c>
      <c r="L84">
        <f>IFERROR(IF(K84="","",IF(AND(DAY(DATE(K84,VALUE(MID(C84,3,2)),VALUE(MID(C84,1,2))))=VALUE(MID(C84,1,2)),MONTH(DATE(K84,VALUE(MID(C84,3,2)),VALUE(MID(C84,1,2))))=VALUE(MID(C84,3,2))),DATE(K84,VALUE(MID(C84,3,2)),VALUE(MID(C84,1,2))),"")),"")</f>
        <v/>
      </c>
    </row>
    <row r="85">
      <c r="A85" s="2" t="n"/>
      <c r="B85" s="2" t="n"/>
      <c r="C85" s="3" t="n"/>
      <c r="D85" s="2" t="n"/>
      <c r="E85" s="4" t="n"/>
      <c r="F85" s="2" t="n"/>
      <c r="G85" s="2" t="n"/>
      <c r="H85" s="2">
        <f>IF(C85="","",IF(LEN(C85)&lt;&gt;13,"Nema 13 cifara (ima "&amp;LEN(C85)&amp;")",IF(J85="","JMBG sadrži nešto što nije cifra",IF(L85="","Nepostojeći datum rođenja",IF(VALUE(MID(C85,13,1))&lt;&gt;J85,"Pogrešna kontrolna cifra — treba "&amp;J85,"✓ ispravan")))))</f>
        <v/>
      </c>
      <c r="I85">
        <f>IFERROR(IF(LEN(C85)&lt;&gt;13,"",7*(VALUE(MID(C85,1,1))+VALUE(MID(C85,7,1)))+6*(VALUE(MID(C85,2,1))+VALUE(MID(C85,8,1)))+5*(VALUE(MID(C85,3,1))+VALUE(MID(C85,9,1)))+4*(VALUE(MID(C85,4,1))+VALUE(MID(C85,10,1)))+3*(VALUE(MID(C85,5,1))+VALUE(MID(C85,11,1)))+2*(VALUE(MID(C85,6,1))+VALUE(MID(C85,12,1)))),"")</f>
        <v/>
      </c>
      <c r="J85">
        <f>IF(I85="","",IF(11-MOD(I85,11)&gt;9,0,11-MOD(I85,11)))</f>
        <v/>
      </c>
      <c r="K85">
        <f>IFERROR(IF(LEN(C85)&lt;&gt;13,"",IF(VALUE(MID(C85,5,3))&gt;=800,1000,2000)+VALUE(MID(C85,5,3))),"")</f>
        <v/>
      </c>
      <c r="L85">
        <f>IFERROR(IF(K85="","",IF(AND(DAY(DATE(K85,VALUE(MID(C85,3,2)),VALUE(MID(C85,1,2))))=VALUE(MID(C85,1,2)),MONTH(DATE(K85,VALUE(MID(C85,3,2)),VALUE(MID(C85,1,2))))=VALUE(MID(C85,3,2))),DATE(K85,VALUE(MID(C85,3,2)),VALUE(MID(C85,1,2))),"")),"")</f>
        <v/>
      </c>
    </row>
    <row r="86">
      <c r="A86" s="2" t="n"/>
      <c r="B86" s="2" t="n"/>
      <c r="C86" s="3" t="n"/>
      <c r="D86" s="2" t="n"/>
      <c r="E86" s="4" t="n"/>
      <c r="F86" s="2" t="n"/>
      <c r="G86" s="2" t="n"/>
      <c r="H86" s="2">
        <f>IF(C86="","",IF(LEN(C86)&lt;&gt;13,"Nema 13 cifara (ima "&amp;LEN(C86)&amp;")",IF(J86="","JMBG sadrži nešto što nije cifra",IF(L86="","Nepostojeći datum rođenja",IF(VALUE(MID(C86,13,1))&lt;&gt;J86,"Pogrešna kontrolna cifra — treba "&amp;J86,"✓ ispravan")))))</f>
        <v/>
      </c>
      <c r="I86">
        <f>IFERROR(IF(LEN(C86)&lt;&gt;13,"",7*(VALUE(MID(C86,1,1))+VALUE(MID(C86,7,1)))+6*(VALUE(MID(C86,2,1))+VALUE(MID(C86,8,1)))+5*(VALUE(MID(C86,3,1))+VALUE(MID(C86,9,1)))+4*(VALUE(MID(C86,4,1))+VALUE(MID(C86,10,1)))+3*(VALUE(MID(C86,5,1))+VALUE(MID(C86,11,1)))+2*(VALUE(MID(C86,6,1))+VALUE(MID(C86,12,1)))),"")</f>
        <v/>
      </c>
      <c r="J86">
        <f>IF(I86="","",IF(11-MOD(I86,11)&gt;9,0,11-MOD(I86,11)))</f>
        <v/>
      </c>
      <c r="K86">
        <f>IFERROR(IF(LEN(C86)&lt;&gt;13,"",IF(VALUE(MID(C86,5,3))&gt;=800,1000,2000)+VALUE(MID(C86,5,3))),"")</f>
        <v/>
      </c>
      <c r="L86">
        <f>IFERROR(IF(K86="","",IF(AND(DAY(DATE(K86,VALUE(MID(C86,3,2)),VALUE(MID(C86,1,2))))=VALUE(MID(C86,1,2)),MONTH(DATE(K86,VALUE(MID(C86,3,2)),VALUE(MID(C86,1,2))))=VALUE(MID(C86,3,2))),DATE(K86,VALUE(MID(C86,3,2)),VALUE(MID(C86,1,2))),"")),"")</f>
        <v/>
      </c>
    </row>
    <row r="87">
      <c r="A87" s="2" t="n"/>
      <c r="B87" s="2" t="n"/>
      <c r="C87" s="3" t="n"/>
      <c r="D87" s="2" t="n"/>
      <c r="E87" s="4" t="n"/>
      <c r="F87" s="2" t="n"/>
      <c r="G87" s="2" t="n"/>
      <c r="H87" s="2">
        <f>IF(C87="","",IF(LEN(C87)&lt;&gt;13,"Nema 13 cifara (ima "&amp;LEN(C87)&amp;")",IF(J87="","JMBG sadrži nešto što nije cifra",IF(L87="","Nepostojeći datum rođenja",IF(VALUE(MID(C87,13,1))&lt;&gt;J87,"Pogrešna kontrolna cifra — treba "&amp;J87,"✓ ispravan")))))</f>
        <v/>
      </c>
      <c r="I87">
        <f>IFERROR(IF(LEN(C87)&lt;&gt;13,"",7*(VALUE(MID(C87,1,1))+VALUE(MID(C87,7,1)))+6*(VALUE(MID(C87,2,1))+VALUE(MID(C87,8,1)))+5*(VALUE(MID(C87,3,1))+VALUE(MID(C87,9,1)))+4*(VALUE(MID(C87,4,1))+VALUE(MID(C87,10,1)))+3*(VALUE(MID(C87,5,1))+VALUE(MID(C87,11,1)))+2*(VALUE(MID(C87,6,1))+VALUE(MID(C87,12,1)))),"")</f>
        <v/>
      </c>
      <c r="J87">
        <f>IF(I87="","",IF(11-MOD(I87,11)&gt;9,0,11-MOD(I87,11)))</f>
        <v/>
      </c>
      <c r="K87">
        <f>IFERROR(IF(LEN(C87)&lt;&gt;13,"",IF(VALUE(MID(C87,5,3))&gt;=800,1000,2000)+VALUE(MID(C87,5,3))),"")</f>
        <v/>
      </c>
      <c r="L87">
        <f>IFERROR(IF(K87="","",IF(AND(DAY(DATE(K87,VALUE(MID(C87,3,2)),VALUE(MID(C87,1,2))))=VALUE(MID(C87,1,2)),MONTH(DATE(K87,VALUE(MID(C87,3,2)),VALUE(MID(C87,1,2))))=VALUE(MID(C87,3,2))),DATE(K87,VALUE(MID(C87,3,2)),VALUE(MID(C87,1,2))),"")),"")</f>
        <v/>
      </c>
    </row>
    <row r="88">
      <c r="A88" s="2" t="n"/>
      <c r="B88" s="2" t="n"/>
      <c r="C88" s="3" t="n"/>
      <c r="D88" s="2" t="n"/>
      <c r="E88" s="4" t="n"/>
      <c r="F88" s="2" t="n"/>
      <c r="G88" s="2" t="n"/>
      <c r="H88" s="2">
        <f>IF(C88="","",IF(LEN(C88)&lt;&gt;13,"Nema 13 cifara (ima "&amp;LEN(C88)&amp;")",IF(J88="","JMBG sadrži nešto što nije cifra",IF(L88="","Nepostojeći datum rođenja",IF(VALUE(MID(C88,13,1))&lt;&gt;J88,"Pogrešna kontrolna cifra — treba "&amp;J88,"✓ ispravan")))))</f>
        <v/>
      </c>
      <c r="I88">
        <f>IFERROR(IF(LEN(C88)&lt;&gt;13,"",7*(VALUE(MID(C88,1,1))+VALUE(MID(C88,7,1)))+6*(VALUE(MID(C88,2,1))+VALUE(MID(C88,8,1)))+5*(VALUE(MID(C88,3,1))+VALUE(MID(C88,9,1)))+4*(VALUE(MID(C88,4,1))+VALUE(MID(C88,10,1)))+3*(VALUE(MID(C88,5,1))+VALUE(MID(C88,11,1)))+2*(VALUE(MID(C88,6,1))+VALUE(MID(C88,12,1)))),"")</f>
        <v/>
      </c>
      <c r="J88">
        <f>IF(I88="","",IF(11-MOD(I88,11)&gt;9,0,11-MOD(I88,11)))</f>
        <v/>
      </c>
      <c r="K88">
        <f>IFERROR(IF(LEN(C88)&lt;&gt;13,"",IF(VALUE(MID(C88,5,3))&gt;=800,1000,2000)+VALUE(MID(C88,5,3))),"")</f>
        <v/>
      </c>
      <c r="L88">
        <f>IFERROR(IF(K88="","",IF(AND(DAY(DATE(K88,VALUE(MID(C88,3,2)),VALUE(MID(C88,1,2))))=VALUE(MID(C88,1,2)),MONTH(DATE(K88,VALUE(MID(C88,3,2)),VALUE(MID(C88,1,2))))=VALUE(MID(C88,3,2))),DATE(K88,VALUE(MID(C88,3,2)),VALUE(MID(C88,1,2))),"")),"")</f>
        <v/>
      </c>
    </row>
    <row r="89">
      <c r="A89" s="2" t="n"/>
      <c r="B89" s="2" t="n"/>
      <c r="C89" s="3" t="n"/>
      <c r="D89" s="2" t="n"/>
      <c r="E89" s="4" t="n"/>
      <c r="F89" s="2" t="n"/>
      <c r="G89" s="2" t="n"/>
      <c r="H89" s="2">
        <f>IF(C89="","",IF(LEN(C89)&lt;&gt;13,"Nema 13 cifara (ima "&amp;LEN(C89)&amp;")",IF(J89="","JMBG sadrži nešto što nije cifra",IF(L89="","Nepostojeći datum rođenja",IF(VALUE(MID(C89,13,1))&lt;&gt;J89,"Pogrešna kontrolna cifra — treba "&amp;J89,"✓ ispravan")))))</f>
        <v/>
      </c>
      <c r="I89">
        <f>IFERROR(IF(LEN(C89)&lt;&gt;13,"",7*(VALUE(MID(C89,1,1))+VALUE(MID(C89,7,1)))+6*(VALUE(MID(C89,2,1))+VALUE(MID(C89,8,1)))+5*(VALUE(MID(C89,3,1))+VALUE(MID(C89,9,1)))+4*(VALUE(MID(C89,4,1))+VALUE(MID(C89,10,1)))+3*(VALUE(MID(C89,5,1))+VALUE(MID(C89,11,1)))+2*(VALUE(MID(C89,6,1))+VALUE(MID(C89,12,1)))),"")</f>
        <v/>
      </c>
      <c r="J89">
        <f>IF(I89="","",IF(11-MOD(I89,11)&gt;9,0,11-MOD(I89,11)))</f>
        <v/>
      </c>
      <c r="K89">
        <f>IFERROR(IF(LEN(C89)&lt;&gt;13,"",IF(VALUE(MID(C89,5,3))&gt;=800,1000,2000)+VALUE(MID(C89,5,3))),"")</f>
        <v/>
      </c>
      <c r="L89">
        <f>IFERROR(IF(K89="","",IF(AND(DAY(DATE(K89,VALUE(MID(C89,3,2)),VALUE(MID(C89,1,2))))=VALUE(MID(C89,1,2)),MONTH(DATE(K89,VALUE(MID(C89,3,2)),VALUE(MID(C89,1,2))))=VALUE(MID(C89,3,2))),DATE(K89,VALUE(MID(C89,3,2)),VALUE(MID(C89,1,2))),"")),"")</f>
        <v/>
      </c>
    </row>
    <row r="90">
      <c r="A90" s="2" t="n"/>
      <c r="B90" s="2" t="n"/>
      <c r="C90" s="3" t="n"/>
      <c r="D90" s="2" t="n"/>
      <c r="E90" s="4" t="n"/>
      <c r="F90" s="2" t="n"/>
      <c r="G90" s="2" t="n"/>
      <c r="H90" s="2">
        <f>IF(C90="","",IF(LEN(C90)&lt;&gt;13,"Nema 13 cifara (ima "&amp;LEN(C90)&amp;")",IF(J90="","JMBG sadrži nešto što nije cifra",IF(L90="","Nepostojeći datum rođenja",IF(VALUE(MID(C90,13,1))&lt;&gt;J90,"Pogrešna kontrolna cifra — treba "&amp;J90,"✓ ispravan")))))</f>
        <v/>
      </c>
      <c r="I90">
        <f>IFERROR(IF(LEN(C90)&lt;&gt;13,"",7*(VALUE(MID(C90,1,1))+VALUE(MID(C90,7,1)))+6*(VALUE(MID(C90,2,1))+VALUE(MID(C90,8,1)))+5*(VALUE(MID(C90,3,1))+VALUE(MID(C90,9,1)))+4*(VALUE(MID(C90,4,1))+VALUE(MID(C90,10,1)))+3*(VALUE(MID(C90,5,1))+VALUE(MID(C90,11,1)))+2*(VALUE(MID(C90,6,1))+VALUE(MID(C90,12,1)))),"")</f>
        <v/>
      </c>
      <c r="J90">
        <f>IF(I90="","",IF(11-MOD(I90,11)&gt;9,0,11-MOD(I90,11)))</f>
        <v/>
      </c>
      <c r="K90">
        <f>IFERROR(IF(LEN(C90)&lt;&gt;13,"",IF(VALUE(MID(C90,5,3))&gt;=800,1000,2000)+VALUE(MID(C90,5,3))),"")</f>
        <v/>
      </c>
      <c r="L90">
        <f>IFERROR(IF(K90="","",IF(AND(DAY(DATE(K90,VALUE(MID(C90,3,2)),VALUE(MID(C90,1,2))))=VALUE(MID(C90,1,2)),MONTH(DATE(K90,VALUE(MID(C90,3,2)),VALUE(MID(C90,1,2))))=VALUE(MID(C90,3,2))),DATE(K90,VALUE(MID(C90,3,2)),VALUE(MID(C90,1,2))),"")),"")</f>
        <v/>
      </c>
    </row>
    <row r="91">
      <c r="A91" s="2" t="n"/>
      <c r="B91" s="2" t="n"/>
      <c r="C91" s="3" t="n"/>
      <c r="D91" s="2" t="n"/>
      <c r="E91" s="4" t="n"/>
      <c r="F91" s="2" t="n"/>
      <c r="G91" s="2" t="n"/>
      <c r="H91" s="2">
        <f>IF(C91="","",IF(LEN(C91)&lt;&gt;13,"Nema 13 cifara (ima "&amp;LEN(C91)&amp;")",IF(J91="","JMBG sadrži nešto što nije cifra",IF(L91="","Nepostojeći datum rođenja",IF(VALUE(MID(C91,13,1))&lt;&gt;J91,"Pogrešna kontrolna cifra — treba "&amp;J91,"✓ ispravan")))))</f>
        <v/>
      </c>
      <c r="I91">
        <f>IFERROR(IF(LEN(C91)&lt;&gt;13,"",7*(VALUE(MID(C91,1,1))+VALUE(MID(C91,7,1)))+6*(VALUE(MID(C91,2,1))+VALUE(MID(C91,8,1)))+5*(VALUE(MID(C91,3,1))+VALUE(MID(C91,9,1)))+4*(VALUE(MID(C91,4,1))+VALUE(MID(C91,10,1)))+3*(VALUE(MID(C91,5,1))+VALUE(MID(C91,11,1)))+2*(VALUE(MID(C91,6,1))+VALUE(MID(C91,12,1)))),"")</f>
        <v/>
      </c>
      <c r="J91">
        <f>IF(I91="","",IF(11-MOD(I91,11)&gt;9,0,11-MOD(I91,11)))</f>
        <v/>
      </c>
      <c r="K91">
        <f>IFERROR(IF(LEN(C91)&lt;&gt;13,"",IF(VALUE(MID(C91,5,3))&gt;=800,1000,2000)+VALUE(MID(C91,5,3))),"")</f>
        <v/>
      </c>
      <c r="L91">
        <f>IFERROR(IF(K91="","",IF(AND(DAY(DATE(K91,VALUE(MID(C91,3,2)),VALUE(MID(C91,1,2))))=VALUE(MID(C91,1,2)),MONTH(DATE(K91,VALUE(MID(C91,3,2)),VALUE(MID(C91,1,2))))=VALUE(MID(C91,3,2))),DATE(K91,VALUE(MID(C91,3,2)),VALUE(MID(C91,1,2))),"")),"")</f>
        <v/>
      </c>
    </row>
    <row r="92">
      <c r="A92" s="2" t="n"/>
      <c r="B92" s="2" t="n"/>
      <c r="C92" s="3" t="n"/>
      <c r="D92" s="2" t="n"/>
      <c r="E92" s="4" t="n"/>
      <c r="F92" s="2" t="n"/>
      <c r="G92" s="2" t="n"/>
      <c r="H92" s="2">
        <f>IF(C92="","",IF(LEN(C92)&lt;&gt;13,"Nema 13 cifara (ima "&amp;LEN(C92)&amp;")",IF(J92="","JMBG sadrži nešto što nije cifra",IF(L92="","Nepostojeći datum rođenja",IF(VALUE(MID(C92,13,1))&lt;&gt;J92,"Pogrešna kontrolna cifra — treba "&amp;J92,"✓ ispravan")))))</f>
        <v/>
      </c>
      <c r="I92">
        <f>IFERROR(IF(LEN(C92)&lt;&gt;13,"",7*(VALUE(MID(C92,1,1))+VALUE(MID(C92,7,1)))+6*(VALUE(MID(C92,2,1))+VALUE(MID(C92,8,1)))+5*(VALUE(MID(C92,3,1))+VALUE(MID(C92,9,1)))+4*(VALUE(MID(C92,4,1))+VALUE(MID(C92,10,1)))+3*(VALUE(MID(C92,5,1))+VALUE(MID(C92,11,1)))+2*(VALUE(MID(C92,6,1))+VALUE(MID(C92,12,1)))),"")</f>
        <v/>
      </c>
      <c r="J92">
        <f>IF(I92="","",IF(11-MOD(I92,11)&gt;9,0,11-MOD(I92,11)))</f>
        <v/>
      </c>
      <c r="K92">
        <f>IFERROR(IF(LEN(C92)&lt;&gt;13,"",IF(VALUE(MID(C92,5,3))&gt;=800,1000,2000)+VALUE(MID(C92,5,3))),"")</f>
        <v/>
      </c>
      <c r="L92">
        <f>IFERROR(IF(K92="","",IF(AND(DAY(DATE(K92,VALUE(MID(C92,3,2)),VALUE(MID(C92,1,2))))=VALUE(MID(C92,1,2)),MONTH(DATE(K92,VALUE(MID(C92,3,2)),VALUE(MID(C92,1,2))))=VALUE(MID(C92,3,2))),DATE(K92,VALUE(MID(C92,3,2)),VALUE(MID(C92,1,2))),"")),"")</f>
        <v/>
      </c>
    </row>
    <row r="93">
      <c r="A93" s="2" t="n"/>
      <c r="B93" s="2" t="n"/>
      <c r="C93" s="3" t="n"/>
      <c r="D93" s="2" t="n"/>
      <c r="E93" s="4" t="n"/>
      <c r="F93" s="2" t="n"/>
      <c r="G93" s="2" t="n"/>
      <c r="H93" s="2">
        <f>IF(C93="","",IF(LEN(C93)&lt;&gt;13,"Nema 13 cifara (ima "&amp;LEN(C93)&amp;")",IF(J93="","JMBG sadrži nešto što nije cifra",IF(L93="","Nepostojeći datum rođenja",IF(VALUE(MID(C93,13,1))&lt;&gt;J93,"Pogrešna kontrolna cifra — treba "&amp;J93,"✓ ispravan")))))</f>
        <v/>
      </c>
      <c r="I93">
        <f>IFERROR(IF(LEN(C93)&lt;&gt;13,"",7*(VALUE(MID(C93,1,1))+VALUE(MID(C93,7,1)))+6*(VALUE(MID(C93,2,1))+VALUE(MID(C93,8,1)))+5*(VALUE(MID(C93,3,1))+VALUE(MID(C93,9,1)))+4*(VALUE(MID(C93,4,1))+VALUE(MID(C93,10,1)))+3*(VALUE(MID(C93,5,1))+VALUE(MID(C93,11,1)))+2*(VALUE(MID(C93,6,1))+VALUE(MID(C93,12,1)))),"")</f>
        <v/>
      </c>
      <c r="J93">
        <f>IF(I93="","",IF(11-MOD(I93,11)&gt;9,0,11-MOD(I93,11)))</f>
        <v/>
      </c>
      <c r="K93">
        <f>IFERROR(IF(LEN(C93)&lt;&gt;13,"",IF(VALUE(MID(C93,5,3))&gt;=800,1000,2000)+VALUE(MID(C93,5,3))),"")</f>
        <v/>
      </c>
      <c r="L93">
        <f>IFERROR(IF(K93="","",IF(AND(DAY(DATE(K93,VALUE(MID(C93,3,2)),VALUE(MID(C93,1,2))))=VALUE(MID(C93,1,2)),MONTH(DATE(K93,VALUE(MID(C93,3,2)),VALUE(MID(C93,1,2))))=VALUE(MID(C93,3,2))),DATE(K93,VALUE(MID(C93,3,2)),VALUE(MID(C93,1,2))),"")),"")</f>
        <v/>
      </c>
    </row>
    <row r="94">
      <c r="A94" s="2" t="n"/>
      <c r="B94" s="2" t="n"/>
      <c r="C94" s="3" t="n"/>
      <c r="D94" s="2" t="n"/>
      <c r="E94" s="4" t="n"/>
      <c r="F94" s="2" t="n"/>
      <c r="G94" s="2" t="n"/>
      <c r="H94" s="2">
        <f>IF(C94="","",IF(LEN(C94)&lt;&gt;13,"Nema 13 cifara (ima "&amp;LEN(C94)&amp;")",IF(J94="","JMBG sadrži nešto što nije cifra",IF(L94="","Nepostojeći datum rođenja",IF(VALUE(MID(C94,13,1))&lt;&gt;J94,"Pogrešna kontrolna cifra — treba "&amp;J94,"✓ ispravan")))))</f>
        <v/>
      </c>
      <c r="I94">
        <f>IFERROR(IF(LEN(C94)&lt;&gt;13,"",7*(VALUE(MID(C94,1,1))+VALUE(MID(C94,7,1)))+6*(VALUE(MID(C94,2,1))+VALUE(MID(C94,8,1)))+5*(VALUE(MID(C94,3,1))+VALUE(MID(C94,9,1)))+4*(VALUE(MID(C94,4,1))+VALUE(MID(C94,10,1)))+3*(VALUE(MID(C94,5,1))+VALUE(MID(C94,11,1)))+2*(VALUE(MID(C94,6,1))+VALUE(MID(C94,12,1)))),"")</f>
        <v/>
      </c>
      <c r="J94">
        <f>IF(I94="","",IF(11-MOD(I94,11)&gt;9,0,11-MOD(I94,11)))</f>
        <v/>
      </c>
      <c r="K94">
        <f>IFERROR(IF(LEN(C94)&lt;&gt;13,"",IF(VALUE(MID(C94,5,3))&gt;=800,1000,2000)+VALUE(MID(C94,5,3))),"")</f>
        <v/>
      </c>
      <c r="L94">
        <f>IFERROR(IF(K94="","",IF(AND(DAY(DATE(K94,VALUE(MID(C94,3,2)),VALUE(MID(C94,1,2))))=VALUE(MID(C94,1,2)),MONTH(DATE(K94,VALUE(MID(C94,3,2)),VALUE(MID(C94,1,2))))=VALUE(MID(C94,3,2))),DATE(K94,VALUE(MID(C94,3,2)),VALUE(MID(C94,1,2))),"")),"")</f>
        <v/>
      </c>
    </row>
    <row r="95">
      <c r="A95" s="2" t="n"/>
      <c r="B95" s="2" t="n"/>
      <c r="C95" s="3" t="n"/>
      <c r="D95" s="2" t="n"/>
      <c r="E95" s="4" t="n"/>
      <c r="F95" s="2" t="n"/>
      <c r="G95" s="2" t="n"/>
      <c r="H95" s="2">
        <f>IF(C95="","",IF(LEN(C95)&lt;&gt;13,"Nema 13 cifara (ima "&amp;LEN(C95)&amp;")",IF(J95="","JMBG sadrži nešto što nije cifra",IF(L95="","Nepostojeći datum rođenja",IF(VALUE(MID(C95,13,1))&lt;&gt;J95,"Pogrešna kontrolna cifra — treba "&amp;J95,"✓ ispravan")))))</f>
        <v/>
      </c>
      <c r="I95">
        <f>IFERROR(IF(LEN(C95)&lt;&gt;13,"",7*(VALUE(MID(C95,1,1))+VALUE(MID(C95,7,1)))+6*(VALUE(MID(C95,2,1))+VALUE(MID(C95,8,1)))+5*(VALUE(MID(C95,3,1))+VALUE(MID(C95,9,1)))+4*(VALUE(MID(C95,4,1))+VALUE(MID(C95,10,1)))+3*(VALUE(MID(C95,5,1))+VALUE(MID(C95,11,1)))+2*(VALUE(MID(C95,6,1))+VALUE(MID(C95,12,1)))),"")</f>
        <v/>
      </c>
      <c r="J95">
        <f>IF(I95="","",IF(11-MOD(I95,11)&gt;9,0,11-MOD(I95,11)))</f>
        <v/>
      </c>
      <c r="K95">
        <f>IFERROR(IF(LEN(C95)&lt;&gt;13,"",IF(VALUE(MID(C95,5,3))&gt;=800,1000,2000)+VALUE(MID(C95,5,3))),"")</f>
        <v/>
      </c>
      <c r="L95">
        <f>IFERROR(IF(K95="","",IF(AND(DAY(DATE(K95,VALUE(MID(C95,3,2)),VALUE(MID(C95,1,2))))=VALUE(MID(C95,1,2)),MONTH(DATE(K95,VALUE(MID(C95,3,2)),VALUE(MID(C95,1,2))))=VALUE(MID(C95,3,2))),DATE(K95,VALUE(MID(C95,3,2)),VALUE(MID(C95,1,2))),"")),"")</f>
        <v/>
      </c>
    </row>
    <row r="96">
      <c r="A96" s="2" t="n"/>
      <c r="B96" s="2" t="n"/>
      <c r="C96" s="3" t="n"/>
      <c r="D96" s="2" t="n"/>
      <c r="E96" s="4" t="n"/>
      <c r="F96" s="2" t="n"/>
      <c r="G96" s="2" t="n"/>
      <c r="H96" s="2">
        <f>IF(C96="","",IF(LEN(C96)&lt;&gt;13,"Nema 13 cifara (ima "&amp;LEN(C96)&amp;")",IF(J96="","JMBG sadrži nešto što nije cifra",IF(L96="","Nepostojeći datum rođenja",IF(VALUE(MID(C96,13,1))&lt;&gt;J96,"Pogrešna kontrolna cifra — treba "&amp;J96,"✓ ispravan")))))</f>
        <v/>
      </c>
      <c r="I96">
        <f>IFERROR(IF(LEN(C96)&lt;&gt;13,"",7*(VALUE(MID(C96,1,1))+VALUE(MID(C96,7,1)))+6*(VALUE(MID(C96,2,1))+VALUE(MID(C96,8,1)))+5*(VALUE(MID(C96,3,1))+VALUE(MID(C96,9,1)))+4*(VALUE(MID(C96,4,1))+VALUE(MID(C96,10,1)))+3*(VALUE(MID(C96,5,1))+VALUE(MID(C96,11,1)))+2*(VALUE(MID(C96,6,1))+VALUE(MID(C96,12,1)))),"")</f>
        <v/>
      </c>
      <c r="J96">
        <f>IF(I96="","",IF(11-MOD(I96,11)&gt;9,0,11-MOD(I96,11)))</f>
        <v/>
      </c>
      <c r="K96">
        <f>IFERROR(IF(LEN(C96)&lt;&gt;13,"",IF(VALUE(MID(C96,5,3))&gt;=800,1000,2000)+VALUE(MID(C96,5,3))),"")</f>
        <v/>
      </c>
      <c r="L96">
        <f>IFERROR(IF(K96="","",IF(AND(DAY(DATE(K96,VALUE(MID(C96,3,2)),VALUE(MID(C96,1,2))))=VALUE(MID(C96,1,2)),MONTH(DATE(K96,VALUE(MID(C96,3,2)),VALUE(MID(C96,1,2))))=VALUE(MID(C96,3,2))),DATE(K96,VALUE(MID(C96,3,2)),VALUE(MID(C96,1,2))),"")),"")</f>
        <v/>
      </c>
    </row>
    <row r="97">
      <c r="A97" s="2" t="n"/>
      <c r="B97" s="2" t="n"/>
      <c r="C97" s="3" t="n"/>
      <c r="D97" s="2" t="n"/>
      <c r="E97" s="4" t="n"/>
      <c r="F97" s="2" t="n"/>
      <c r="G97" s="2" t="n"/>
      <c r="H97" s="2">
        <f>IF(C97="","",IF(LEN(C97)&lt;&gt;13,"Nema 13 cifara (ima "&amp;LEN(C97)&amp;")",IF(J97="","JMBG sadrži nešto što nije cifra",IF(L97="","Nepostojeći datum rođenja",IF(VALUE(MID(C97,13,1))&lt;&gt;J97,"Pogrešna kontrolna cifra — treba "&amp;J97,"✓ ispravan")))))</f>
        <v/>
      </c>
      <c r="I97">
        <f>IFERROR(IF(LEN(C97)&lt;&gt;13,"",7*(VALUE(MID(C97,1,1))+VALUE(MID(C97,7,1)))+6*(VALUE(MID(C97,2,1))+VALUE(MID(C97,8,1)))+5*(VALUE(MID(C97,3,1))+VALUE(MID(C97,9,1)))+4*(VALUE(MID(C97,4,1))+VALUE(MID(C97,10,1)))+3*(VALUE(MID(C97,5,1))+VALUE(MID(C97,11,1)))+2*(VALUE(MID(C97,6,1))+VALUE(MID(C97,12,1)))),"")</f>
        <v/>
      </c>
      <c r="J97">
        <f>IF(I97="","",IF(11-MOD(I97,11)&gt;9,0,11-MOD(I97,11)))</f>
        <v/>
      </c>
      <c r="K97">
        <f>IFERROR(IF(LEN(C97)&lt;&gt;13,"",IF(VALUE(MID(C97,5,3))&gt;=800,1000,2000)+VALUE(MID(C97,5,3))),"")</f>
        <v/>
      </c>
      <c r="L97">
        <f>IFERROR(IF(K97="","",IF(AND(DAY(DATE(K97,VALUE(MID(C97,3,2)),VALUE(MID(C97,1,2))))=VALUE(MID(C97,1,2)),MONTH(DATE(K97,VALUE(MID(C97,3,2)),VALUE(MID(C97,1,2))))=VALUE(MID(C97,3,2))),DATE(K97,VALUE(MID(C97,3,2)),VALUE(MID(C97,1,2))),"")),"")</f>
        <v/>
      </c>
    </row>
    <row r="98">
      <c r="A98" s="2" t="n"/>
      <c r="B98" s="2" t="n"/>
      <c r="C98" s="3" t="n"/>
      <c r="D98" s="2" t="n"/>
      <c r="E98" s="4" t="n"/>
      <c r="F98" s="2" t="n"/>
      <c r="G98" s="2" t="n"/>
      <c r="H98" s="2">
        <f>IF(C98="","",IF(LEN(C98)&lt;&gt;13,"Nema 13 cifara (ima "&amp;LEN(C98)&amp;")",IF(J98="","JMBG sadrži nešto što nije cifra",IF(L98="","Nepostojeći datum rođenja",IF(VALUE(MID(C98,13,1))&lt;&gt;J98,"Pogrešna kontrolna cifra — treba "&amp;J98,"✓ ispravan")))))</f>
        <v/>
      </c>
      <c r="I98">
        <f>IFERROR(IF(LEN(C98)&lt;&gt;13,"",7*(VALUE(MID(C98,1,1))+VALUE(MID(C98,7,1)))+6*(VALUE(MID(C98,2,1))+VALUE(MID(C98,8,1)))+5*(VALUE(MID(C98,3,1))+VALUE(MID(C98,9,1)))+4*(VALUE(MID(C98,4,1))+VALUE(MID(C98,10,1)))+3*(VALUE(MID(C98,5,1))+VALUE(MID(C98,11,1)))+2*(VALUE(MID(C98,6,1))+VALUE(MID(C98,12,1)))),"")</f>
        <v/>
      </c>
      <c r="J98">
        <f>IF(I98="","",IF(11-MOD(I98,11)&gt;9,0,11-MOD(I98,11)))</f>
        <v/>
      </c>
      <c r="K98">
        <f>IFERROR(IF(LEN(C98)&lt;&gt;13,"",IF(VALUE(MID(C98,5,3))&gt;=800,1000,2000)+VALUE(MID(C98,5,3))),"")</f>
        <v/>
      </c>
      <c r="L98">
        <f>IFERROR(IF(K98="","",IF(AND(DAY(DATE(K98,VALUE(MID(C98,3,2)),VALUE(MID(C98,1,2))))=VALUE(MID(C98,1,2)),MONTH(DATE(K98,VALUE(MID(C98,3,2)),VALUE(MID(C98,1,2))))=VALUE(MID(C98,3,2))),DATE(K98,VALUE(MID(C98,3,2)),VALUE(MID(C98,1,2))),"")),"")</f>
        <v/>
      </c>
    </row>
    <row r="99">
      <c r="A99" s="2" t="n"/>
      <c r="B99" s="2" t="n"/>
      <c r="C99" s="3" t="n"/>
      <c r="D99" s="2" t="n"/>
      <c r="E99" s="4" t="n"/>
      <c r="F99" s="2" t="n"/>
      <c r="G99" s="2" t="n"/>
      <c r="H99" s="2">
        <f>IF(C99="","",IF(LEN(C99)&lt;&gt;13,"Nema 13 cifara (ima "&amp;LEN(C99)&amp;")",IF(J99="","JMBG sadrži nešto što nije cifra",IF(L99="","Nepostojeći datum rođenja",IF(VALUE(MID(C99,13,1))&lt;&gt;J99,"Pogrešna kontrolna cifra — treba "&amp;J99,"✓ ispravan")))))</f>
        <v/>
      </c>
      <c r="I99">
        <f>IFERROR(IF(LEN(C99)&lt;&gt;13,"",7*(VALUE(MID(C99,1,1))+VALUE(MID(C99,7,1)))+6*(VALUE(MID(C99,2,1))+VALUE(MID(C99,8,1)))+5*(VALUE(MID(C99,3,1))+VALUE(MID(C99,9,1)))+4*(VALUE(MID(C99,4,1))+VALUE(MID(C99,10,1)))+3*(VALUE(MID(C99,5,1))+VALUE(MID(C99,11,1)))+2*(VALUE(MID(C99,6,1))+VALUE(MID(C99,12,1)))),"")</f>
        <v/>
      </c>
      <c r="J99">
        <f>IF(I99="","",IF(11-MOD(I99,11)&gt;9,0,11-MOD(I99,11)))</f>
        <v/>
      </c>
      <c r="K99">
        <f>IFERROR(IF(LEN(C99)&lt;&gt;13,"",IF(VALUE(MID(C99,5,3))&gt;=800,1000,2000)+VALUE(MID(C99,5,3))),"")</f>
        <v/>
      </c>
      <c r="L99">
        <f>IFERROR(IF(K99="","",IF(AND(DAY(DATE(K99,VALUE(MID(C99,3,2)),VALUE(MID(C99,1,2))))=VALUE(MID(C99,1,2)),MONTH(DATE(K99,VALUE(MID(C99,3,2)),VALUE(MID(C99,1,2))))=VALUE(MID(C99,3,2))),DATE(K99,VALUE(MID(C99,3,2)),VALUE(MID(C99,1,2))),"")),"")</f>
        <v/>
      </c>
    </row>
    <row r="100">
      <c r="A100" s="2" t="n"/>
      <c r="B100" s="2" t="n"/>
      <c r="C100" s="3" t="n"/>
      <c r="D100" s="2" t="n"/>
      <c r="E100" s="4" t="n"/>
      <c r="F100" s="2" t="n"/>
      <c r="G100" s="2" t="n"/>
      <c r="H100" s="2">
        <f>IF(C100="","",IF(LEN(C100)&lt;&gt;13,"Nema 13 cifara (ima "&amp;LEN(C100)&amp;")",IF(J100="","JMBG sadrži nešto što nije cifra",IF(L100="","Nepostojeći datum rođenja",IF(VALUE(MID(C100,13,1))&lt;&gt;J100,"Pogrešna kontrolna cifra — treba "&amp;J100,"✓ ispravan")))))</f>
        <v/>
      </c>
      <c r="I100">
        <f>IFERROR(IF(LEN(C100)&lt;&gt;13,"",7*(VALUE(MID(C100,1,1))+VALUE(MID(C100,7,1)))+6*(VALUE(MID(C100,2,1))+VALUE(MID(C100,8,1)))+5*(VALUE(MID(C100,3,1))+VALUE(MID(C100,9,1)))+4*(VALUE(MID(C100,4,1))+VALUE(MID(C100,10,1)))+3*(VALUE(MID(C100,5,1))+VALUE(MID(C100,11,1)))+2*(VALUE(MID(C100,6,1))+VALUE(MID(C100,12,1)))),"")</f>
        <v/>
      </c>
      <c r="J100">
        <f>IF(I100="","",IF(11-MOD(I100,11)&gt;9,0,11-MOD(I100,11)))</f>
        <v/>
      </c>
      <c r="K100">
        <f>IFERROR(IF(LEN(C100)&lt;&gt;13,"",IF(VALUE(MID(C100,5,3))&gt;=800,1000,2000)+VALUE(MID(C100,5,3))),"")</f>
        <v/>
      </c>
      <c r="L100">
        <f>IFERROR(IF(K100="","",IF(AND(DAY(DATE(K100,VALUE(MID(C100,3,2)),VALUE(MID(C100,1,2))))=VALUE(MID(C100,1,2)),MONTH(DATE(K100,VALUE(MID(C100,3,2)),VALUE(MID(C100,1,2))))=VALUE(MID(C100,3,2))),DATE(K100,VALUE(MID(C100,3,2)),VALUE(MID(C100,1,2))),"")),"")</f>
        <v/>
      </c>
    </row>
    <row r="101">
      <c r="A101" s="2" t="n"/>
      <c r="B101" s="2" t="n"/>
      <c r="C101" s="3" t="n"/>
      <c r="D101" s="2" t="n"/>
      <c r="E101" s="4" t="n"/>
      <c r="F101" s="2" t="n"/>
      <c r="G101" s="2" t="n"/>
      <c r="H101" s="2">
        <f>IF(C101="","",IF(LEN(C101)&lt;&gt;13,"Nema 13 cifara (ima "&amp;LEN(C101)&amp;")",IF(J101="","JMBG sadrži nešto što nije cifra",IF(L101="","Nepostojeći datum rođenja",IF(VALUE(MID(C101,13,1))&lt;&gt;J101,"Pogrešna kontrolna cifra — treba "&amp;J101,"✓ ispravan")))))</f>
        <v/>
      </c>
      <c r="I101">
        <f>IFERROR(IF(LEN(C101)&lt;&gt;13,"",7*(VALUE(MID(C101,1,1))+VALUE(MID(C101,7,1)))+6*(VALUE(MID(C101,2,1))+VALUE(MID(C101,8,1)))+5*(VALUE(MID(C101,3,1))+VALUE(MID(C101,9,1)))+4*(VALUE(MID(C101,4,1))+VALUE(MID(C101,10,1)))+3*(VALUE(MID(C101,5,1))+VALUE(MID(C101,11,1)))+2*(VALUE(MID(C101,6,1))+VALUE(MID(C101,12,1)))),"")</f>
        <v/>
      </c>
      <c r="J101">
        <f>IF(I101="","",IF(11-MOD(I101,11)&gt;9,0,11-MOD(I101,11)))</f>
        <v/>
      </c>
      <c r="K101">
        <f>IFERROR(IF(LEN(C101)&lt;&gt;13,"",IF(VALUE(MID(C101,5,3))&gt;=800,1000,2000)+VALUE(MID(C101,5,3))),"")</f>
        <v/>
      </c>
      <c r="L101">
        <f>IFERROR(IF(K101="","",IF(AND(DAY(DATE(K101,VALUE(MID(C101,3,2)),VALUE(MID(C101,1,2))))=VALUE(MID(C101,1,2)),MONTH(DATE(K101,VALUE(MID(C101,3,2)),VALUE(MID(C101,1,2))))=VALUE(MID(C101,3,2))),DATE(K101,VALUE(MID(C101,3,2)),VALUE(MID(C101,1,2))),"")),"")</f>
        <v/>
      </c>
    </row>
    <row r="102">
      <c r="A102" s="2" t="n"/>
      <c r="B102" s="2" t="n"/>
      <c r="C102" s="3" t="n"/>
      <c r="D102" s="2" t="n"/>
      <c r="E102" s="4" t="n"/>
      <c r="F102" s="2" t="n"/>
      <c r="G102" s="2" t="n"/>
      <c r="H102" s="2">
        <f>IF(C102="","",IF(LEN(C102)&lt;&gt;13,"Nema 13 cifara (ima "&amp;LEN(C102)&amp;")",IF(J102="","JMBG sadrži nešto što nije cifra",IF(L102="","Nepostojeći datum rođenja",IF(VALUE(MID(C102,13,1))&lt;&gt;J102,"Pogrešna kontrolna cifra — treba "&amp;J102,"✓ ispravan")))))</f>
        <v/>
      </c>
      <c r="I102">
        <f>IFERROR(IF(LEN(C102)&lt;&gt;13,"",7*(VALUE(MID(C102,1,1))+VALUE(MID(C102,7,1)))+6*(VALUE(MID(C102,2,1))+VALUE(MID(C102,8,1)))+5*(VALUE(MID(C102,3,1))+VALUE(MID(C102,9,1)))+4*(VALUE(MID(C102,4,1))+VALUE(MID(C102,10,1)))+3*(VALUE(MID(C102,5,1))+VALUE(MID(C102,11,1)))+2*(VALUE(MID(C102,6,1))+VALUE(MID(C102,12,1)))),"")</f>
        <v/>
      </c>
      <c r="J102">
        <f>IF(I102="","",IF(11-MOD(I102,11)&gt;9,0,11-MOD(I102,11)))</f>
        <v/>
      </c>
      <c r="K102">
        <f>IFERROR(IF(LEN(C102)&lt;&gt;13,"",IF(VALUE(MID(C102,5,3))&gt;=800,1000,2000)+VALUE(MID(C102,5,3))),"")</f>
        <v/>
      </c>
      <c r="L102">
        <f>IFERROR(IF(K102="","",IF(AND(DAY(DATE(K102,VALUE(MID(C102,3,2)),VALUE(MID(C102,1,2))))=VALUE(MID(C102,1,2)),MONTH(DATE(K102,VALUE(MID(C102,3,2)),VALUE(MID(C102,1,2))))=VALUE(MID(C102,3,2))),DATE(K102,VALUE(MID(C102,3,2)),VALUE(MID(C102,1,2))),"")),"")</f>
        <v/>
      </c>
    </row>
    <row r="103">
      <c r="A103" s="2" t="n"/>
      <c r="B103" s="2" t="n"/>
      <c r="C103" s="3" t="n"/>
      <c r="D103" s="2" t="n"/>
      <c r="E103" s="4" t="n"/>
      <c r="F103" s="2" t="n"/>
      <c r="G103" s="2" t="n"/>
      <c r="H103" s="2">
        <f>IF(C103="","",IF(LEN(C103)&lt;&gt;13,"Nema 13 cifara (ima "&amp;LEN(C103)&amp;")",IF(J103="","JMBG sadrži nešto što nije cifra",IF(L103="","Nepostojeći datum rođenja",IF(VALUE(MID(C103,13,1))&lt;&gt;J103,"Pogrešna kontrolna cifra — treba "&amp;J103,"✓ ispravan")))))</f>
        <v/>
      </c>
      <c r="I103">
        <f>IFERROR(IF(LEN(C103)&lt;&gt;13,"",7*(VALUE(MID(C103,1,1))+VALUE(MID(C103,7,1)))+6*(VALUE(MID(C103,2,1))+VALUE(MID(C103,8,1)))+5*(VALUE(MID(C103,3,1))+VALUE(MID(C103,9,1)))+4*(VALUE(MID(C103,4,1))+VALUE(MID(C103,10,1)))+3*(VALUE(MID(C103,5,1))+VALUE(MID(C103,11,1)))+2*(VALUE(MID(C103,6,1))+VALUE(MID(C103,12,1)))),"")</f>
        <v/>
      </c>
      <c r="J103">
        <f>IF(I103="","",IF(11-MOD(I103,11)&gt;9,0,11-MOD(I103,11)))</f>
        <v/>
      </c>
      <c r="K103">
        <f>IFERROR(IF(LEN(C103)&lt;&gt;13,"",IF(VALUE(MID(C103,5,3))&gt;=800,1000,2000)+VALUE(MID(C103,5,3))),"")</f>
        <v/>
      </c>
      <c r="L103">
        <f>IFERROR(IF(K103="","",IF(AND(DAY(DATE(K103,VALUE(MID(C103,3,2)),VALUE(MID(C103,1,2))))=VALUE(MID(C103,1,2)),MONTH(DATE(K103,VALUE(MID(C103,3,2)),VALUE(MID(C103,1,2))))=VALUE(MID(C103,3,2))),DATE(K103,VALUE(MID(C103,3,2)),VALUE(MID(C103,1,2))),"")),"")</f>
        <v/>
      </c>
    </row>
    <row r="104">
      <c r="A104" s="2" t="n"/>
      <c r="B104" s="2" t="n"/>
      <c r="C104" s="3" t="n"/>
      <c r="D104" s="2" t="n"/>
      <c r="E104" s="4" t="n"/>
      <c r="F104" s="2" t="n"/>
      <c r="G104" s="2" t="n"/>
      <c r="H104" s="2">
        <f>IF(C104="","",IF(LEN(C104)&lt;&gt;13,"Nema 13 cifara (ima "&amp;LEN(C104)&amp;")",IF(J104="","JMBG sadrži nešto što nije cifra",IF(L104="","Nepostojeći datum rođenja",IF(VALUE(MID(C104,13,1))&lt;&gt;J104,"Pogrešna kontrolna cifra — treba "&amp;J104,"✓ ispravan")))))</f>
        <v/>
      </c>
      <c r="I104">
        <f>IFERROR(IF(LEN(C104)&lt;&gt;13,"",7*(VALUE(MID(C104,1,1))+VALUE(MID(C104,7,1)))+6*(VALUE(MID(C104,2,1))+VALUE(MID(C104,8,1)))+5*(VALUE(MID(C104,3,1))+VALUE(MID(C104,9,1)))+4*(VALUE(MID(C104,4,1))+VALUE(MID(C104,10,1)))+3*(VALUE(MID(C104,5,1))+VALUE(MID(C104,11,1)))+2*(VALUE(MID(C104,6,1))+VALUE(MID(C104,12,1)))),"")</f>
        <v/>
      </c>
      <c r="J104">
        <f>IF(I104="","",IF(11-MOD(I104,11)&gt;9,0,11-MOD(I104,11)))</f>
        <v/>
      </c>
      <c r="K104">
        <f>IFERROR(IF(LEN(C104)&lt;&gt;13,"",IF(VALUE(MID(C104,5,3))&gt;=800,1000,2000)+VALUE(MID(C104,5,3))),"")</f>
        <v/>
      </c>
      <c r="L104">
        <f>IFERROR(IF(K104="","",IF(AND(DAY(DATE(K104,VALUE(MID(C104,3,2)),VALUE(MID(C104,1,2))))=VALUE(MID(C104,1,2)),MONTH(DATE(K104,VALUE(MID(C104,3,2)),VALUE(MID(C104,1,2))))=VALUE(MID(C104,3,2))),DATE(K104,VALUE(MID(C104,3,2)),VALUE(MID(C104,1,2))),"")),"")</f>
        <v/>
      </c>
    </row>
    <row r="105">
      <c r="A105" s="2" t="n"/>
      <c r="B105" s="2" t="n"/>
      <c r="C105" s="3" t="n"/>
      <c r="D105" s="2" t="n"/>
      <c r="E105" s="4" t="n"/>
      <c r="F105" s="2" t="n"/>
      <c r="G105" s="2" t="n"/>
      <c r="H105" s="2">
        <f>IF(C105="","",IF(LEN(C105)&lt;&gt;13,"Nema 13 cifara (ima "&amp;LEN(C105)&amp;")",IF(J105="","JMBG sadrži nešto što nije cifra",IF(L105="","Nepostojeći datum rođenja",IF(VALUE(MID(C105,13,1))&lt;&gt;J105,"Pogrešna kontrolna cifra — treba "&amp;J105,"✓ ispravan")))))</f>
        <v/>
      </c>
      <c r="I105">
        <f>IFERROR(IF(LEN(C105)&lt;&gt;13,"",7*(VALUE(MID(C105,1,1))+VALUE(MID(C105,7,1)))+6*(VALUE(MID(C105,2,1))+VALUE(MID(C105,8,1)))+5*(VALUE(MID(C105,3,1))+VALUE(MID(C105,9,1)))+4*(VALUE(MID(C105,4,1))+VALUE(MID(C105,10,1)))+3*(VALUE(MID(C105,5,1))+VALUE(MID(C105,11,1)))+2*(VALUE(MID(C105,6,1))+VALUE(MID(C105,12,1)))),"")</f>
        <v/>
      </c>
      <c r="J105">
        <f>IF(I105="","",IF(11-MOD(I105,11)&gt;9,0,11-MOD(I105,11)))</f>
        <v/>
      </c>
      <c r="K105">
        <f>IFERROR(IF(LEN(C105)&lt;&gt;13,"",IF(VALUE(MID(C105,5,3))&gt;=800,1000,2000)+VALUE(MID(C105,5,3))),"")</f>
        <v/>
      </c>
      <c r="L105">
        <f>IFERROR(IF(K105="","",IF(AND(DAY(DATE(K105,VALUE(MID(C105,3,2)),VALUE(MID(C105,1,2))))=VALUE(MID(C105,1,2)),MONTH(DATE(K105,VALUE(MID(C105,3,2)),VALUE(MID(C105,1,2))))=VALUE(MID(C105,3,2))),DATE(K105,VALUE(MID(C105,3,2)),VALUE(MID(C105,1,2))),"")),"")</f>
        <v/>
      </c>
    </row>
    <row r="106">
      <c r="A106" s="2" t="n"/>
      <c r="B106" s="2" t="n"/>
      <c r="C106" s="3" t="n"/>
      <c r="D106" s="2" t="n"/>
      <c r="E106" s="4" t="n"/>
      <c r="F106" s="2" t="n"/>
      <c r="G106" s="2" t="n"/>
      <c r="H106" s="2">
        <f>IF(C106="","",IF(LEN(C106)&lt;&gt;13,"Nema 13 cifara (ima "&amp;LEN(C106)&amp;")",IF(J106="","JMBG sadrži nešto što nije cifra",IF(L106="","Nepostojeći datum rođenja",IF(VALUE(MID(C106,13,1))&lt;&gt;J106,"Pogrešna kontrolna cifra — treba "&amp;J106,"✓ ispravan")))))</f>
        <v/>
      </c>
      <c r="I106">
        <f>IFERROR(IF(LEN(C106)&lt;&gt;13,"",7*(VALUE(MID(C106,1,1))+VALUE(MID(C106,7,1)))+6*(VALUE(MID(C106,2,1))+VALUE(MID(C106,8,1)))+5*(VALUE(MID(C106,3,1))+VALUE(MID(C106,9,1)))+4*(VALUE(MID(C106,4,1))+VALUE(MID(C106,10,1)))+3*(VALUE(MID(C106,5,1))+VALUE(MID(C106,11,1)))+2*(VALUE(MID(C106,6,1))+VALUE(MID(C106,12,1)))),"")</f>
        <v/>
      </c>
      <c r="J106">
        <f>IF(I106="","",IF(11-MOD(I106,11)&gt;9,0,11-MOD(I106,11)))</f>
        <v/>
      </c>
      <c r="K106">
        <f>IFERROR(IF(LEN(C106)&lt;&gt;13,"",IF(VALUE(MID(C106,5,3))&gt;=800,1000,2000)+VALUE(MID(C106,5,3))),"")</f>
        <v/>
      </c>
      <c r="L106">
        <f>IFERROR(IF(K106="","",IF(AND(DAY(DATE(K106,VALUE(MID(C106,3,2)),VALUE(MID(C106,1,2))))=VALUE(MID(C106,1,2)),MONTH(DATE(K106,VALUE(MID(C106,3,2)),VALUE(MID(C106,1,2))))=VALUE(MID(C106,3,2))),DATE(K106,VALUE(MID(C106,3,2)),VALUE(MID(C106,1,2))),"")),"")</f>
        <v/>
      </c>
    </row>
    <row r="107">
      <c r="A107" s="2" t="n"/>
      <c r="B107" s="2" t="n"/>
      <c r="C107" s="3" t="n"/>
      <c r="D107" s="2" t="n"/>
      <c r="E107" s="4" t="n"/>
      <c r="F107" s="2" t="n"/>
      <c r="G107" s="2" t="n"/>
      <c r="H107" s="2">
        <f>IF(C107="","",IF(LEN(C107)&lt;&gt;13,"Nema 13 cifara (ima "&amp;LEN(C107)&amp;")",IF(J107="","JMBG sadrži nešto što nije cifra",IF(L107="","Nepostojeći datum rođenja",IF(VALUE(MID(C107,13,1))&lt;&gt;J107,"Pogrešna kontrolna cifra — treba "&amp;J107,"✓ ispravan")))))</f>
        <v/>
      </c>
      <c r="I107">
        <f>IFERROR(IF(LEN(C107)&lt;&gt;13,"",7*(VALUE(MID(C107,1,1))+VALUE(MID(C107,7,1)))+6*(VALUE(MID(C107,2,1))+VALUE(MID(C107,8,1)))+5*(VALUE(MID(C107,3,1))+VALUE(MID(C107,9,1)))+4*(VALUE(MID(C107,4,1))+VALUE(MID(C107,10,1)))+3*(VALUE(MID(C107,5,1))+VALUE(MID(C107,11,1)))+2*(VALUE(MID(C107,6,1))+VALUE(MID(C107,12,1)))),"")</f>
        <v/>
      </c>
      <c r="J107">
        <f>IF(I107="","",IF(11-MOD(I107,11)&gt;9,0,11-MOD(I107,11)))</f>
        <v/>
      </c>
      <c r="K107">
        <f>IFERROR(IF(LEN(C107)&lt;&gt;13,"",IF(VALUE(MID(C107,5,3))&gt;=800,1000,2000)+VALUE(MID(C107,5,3))),"")</f>
        <v/>
      </c>
      <c r="L107">
        <f>IFERROR(IF(K107="","",IF(AND(DAY(DATE(K107,VALUE(MID(C107,3,2)),VALUE(MID(C107,1,2))))=VALUE(MID(C107,1,2)),MONTH(DATE(K107,VALUE(MID(C107,3,2)),VALUE(MID(C107,1,2))))=VALUE(MID(C107,3,2))),DATE(K107,VALUE(MID(C107,3,2)),VALUE(MID(C107,1,2))),"")),"")</f>
        <v/>
      </c>
    </row>
    <row r="108">
      <c r="A108" s="2" t="n"/>
      <c r="B108" s="2" t="n"/>
      <c r="C108" s="3" t="n"/>
      <c r="D108" s="2" t="n"/>
      <c r="E108" s="4" t="n"/>
      <c r="F108" s="2" t="n"/>
      <c r="G108" s="2" t="n"/>
      <c r="H108" s="2">
        <f>IF(C108="","",IF(LEN(C108)&lt;&gt;13,"Nema 13 cifara (ima "&amp;LEN(C108)&amp;")",IF(J108="","JMBG sadrži nešto što nije cifra",IF(L108="","Nepostojeći datum rođenja",IF(VALUE(MID(C108,13,1))&lt;&gt;J108,"Pogrešna kontrolna cifra — treba "&amp;J108,"✓ ispravan")))))</f>
        <v/>
      </c>
      <c r="I108">
        <f>IFERROR(IF(LEN(C108)&lt;&gt;13,"",7*(VALUE(MID(C108,1,1))+VALUE(MID(C108,7,1)))+6*(VALUE(MID(C108,2,1))+VALUE(MID(C108,8,1)))+5*(VALUE(MID(C108,3,1))+VALUE(MID(C108,9,1)))+4*(VALUE(MID(C108,4,1))+VALUE(MID(C108,10,1)))+3*(VALUE(MID(C108,5,1))+VALUE(MID(C108,11,1)))+2*(VALUE(MID(C108,6,1))+VALUE(MID(C108,12,1)))),"")</f>
        <v/>
      </c>
      <c r="J108">
        <f>IF(I108="","",IF(11-MOD(I108,11)&gt;9,0,11-MOD(I108,11)))</f>
        <v/>
      </c>
      <c r="K108">
        <f>IFERROR(IF(LEN(C108)&lt;&gt;13,"",IF(VALUE(MID(C108,5,3))&gt;=800,1000,2000)+VALUE(MID(C108,5,3))),"")</f>
        <v/>
      </c>
      <c r="L108">
        <f>IFERROR(IF(K108="","",IF(AND(DAY(DATE(K108,VALUE(MID(C108,3,2)),VALUE(MID(C108,1,2))))=VALUE(MID(C108,1,2)),MONTH(DATE(K108,VALUE(MID(C108,3,2)),VALUE(MID(C108,1,2))))=VALUE(MID(C108,3,2))),DATE(K108,VALUE(MID(C108,3,2)),VALUE(MID(C108,1,2))),"")),"")</f>
        <v/>
      </c>
    </row>
    <row r="109">
      <c r="A109" s="2" t="n"/>
      <c r="B109" s="2" t="n"/>
      <c r="C109" s="3" t="n"/>
      <c r="D109" s="2" t="n"/>
      <c r="E109" s="4" t="n"/>
      <c r="F109" s="2" t="n"/>
      <c r="G109" s="2" t="n"/>
      <c r="H109" s="2">
        <f>IF(C109="","",IF(LEN(C109)&lt;&gt;13,"Nema 13 cifara (ima "&amp;LEN(C109)&amp;")",IF(J109="","JMBG sadrži nešto što nije cifra",IF(L109="","Nepostojeći datum rođenja",IF(VALUE(MID(C109,13,1))&lt;&gt;J109,"Pogrešna kontrolna cifra — treba "&amp;J109,"✓ ispravan")))))</f>
        <v/>
      </c>
      <c r="I109">
        <f>IFERROR(IF(LEN(C109)&lt;&gt;13,"",7*(VALUE(MID(C109,1,1))+VALUE(MID(C109,7,1)))+6*(VALUE(MID(C109,2,1))+VALUE(MID(C109,8,1)))+5*(VALUE(MID(C109,3,1))+VALUE(MID(C109,9,1)))+4*(VALUE(MID(C109,4,1))+VALUE(MID(C109,10,1)))+3*(VALUE(MID(C109,5,1))+VALUE(MID(C109,11,1)))+2*(VALUE(MID(C109,6,1))+VALUE(MID(C109,12,1)))),"")</f>
        <v/>
      </c>
      <c r="J109">
        <f>IF(I109="","",IF(11-MOD(I109,11)&gt;9,0,11-MOD(I109,11)))</f>
        <v/>
      </c>
      <c r="K109">
        <f>IFERROR(IF(LEN(C109)&lt;&gt;13,"",IF(VALUE(MID(C109,5,3))&gt;=800,1000,2000)+VALUE(MID(C109,5,3))),"")</f>
        <v/>
      </c>
      <c r="L109">
        <f>IFERROR(IF(K109="","",IF(AND(DAY(DATE(K109,VALUE(MID(C109,3,2)),VALUE(MID(C109,1,2))))=VALUE(MID(C109,1,2)),MONTH(DATE(K109,VALUE(MID(C109,3,2)),VALUE(MID(C109,1,2))))=VALUE(MID(C109,3,2))),DATE(K109,VALUE(MID(C109,3,2)),VALUE(MID(C109,1,2))),"")),"")</f>
        <v/>
      </c>
    </row>
    <row r="110">
      <c r="A110" s="2" t="n"/>
      <c r="B110" s="2" t="n"/>
      <c r="C110" s="3" t="n"/>
      <c r="D110" s="2" t="n"/>
      <c r="E110" s="4" t="n"/>
      <c r="F110" s="2" t="n"/>
      <c r="G110" s="2" t="n"/>
      <c r="H110" s="2">
        <f>IF(C110="","",IF(LEN(C110)&lt;&gt;13,"Nema 13 cifara (ima "&amp;LEN(C110)&amp;")",IF(J110="","JMBG sadrži nešto što nije cifra",IF(L110="","Nepostojeći datum rođenja",IF(VALUE(MID(C110,13,1))&lt;&gt;J110,"Pogrešna kontrolna cifra — treba "&amp;J110,"✓ ispravan")))))</f>
        <v/>
      </c>
      <c r="I110">
        <f>IFERROR(IF(LEN(C110)&lt;&gt;13,"",7*(VALUE(MID(C110,1,1))+VALUE(MID(C110,7,1)))+6*(VALUE(MID(C110,2,1))+VALUE(MID(C110,8,1)))+5*(VALUE(MID(C110,3,1))+VALUE(MID(C110,9,1)))+4*(VALUE(MID(C110,4,1))+VALUE(MID(C110,10,1)))+3*(VALUE(MID(C110,5,1))+VALUE(MID(C110,11,1)))+2*(VALUE(MID(C110,6,1))+VALUE(MID(C110,12,1)))),"")</f>
        <v/>
      </c>
      <c r="J110">
        <f>IF(I110="","",IF(11-MOD(I110,11)&gt;9,0,11-MOD(I110,11)))</f>
        <v/>
      </c>
      <c r="K110">
        <f>IFERROR(IF(LEN(C110)&lt;&gt;13,"",IF(VALUE(MID(C110,5,3))&gt;=800,1000,2000)+VALUE(MID(C110,5,3))),"")</f>
        <v/>
      </c>
      <c r="L110">
        <f>IFERROR(IF(K110="","",IF(AND(DAY(DATE(K110,VALUE(MID(C110,3,2)),VALUE(MID(C110,1,2))))=VALUE(MID(C110,1,2)),MONTH(DATE(K110,VALUE(MID(C110,3,2)),VALUE(MID(C110,1,2))))=VALUE(MID(C110,3,2))),DATE(K110,VALUE(MID(C110,3,2)),VALUE(MID(C110,1,2))),"")),"")</f>
        <v/>
      </c>
    </row>
    <row r="111">
      <c r="A111" s="2" t="n"/>
      <c r="B111" s="2" t="n"/>
      <c r="C111" s="3" t="n"/>
      <c r="D111" s="2" t="n"/>
      <c r="E111" s="4" t="n"/>
      <c r="F111" s="2" t="n"/>
      <c r="G111" s="2" t="n"/>
      <c r="H111" s="2">
        <f>IF(C111="","",IF(LEN(C111)&lt;&gt;13,"Nema 13 cifara (ima "&amp;LEN(C111)&amp;")",IF(J111="","JMBG sadrži nešto što nije cifra",IF(L111="","Nepostojeći datum rođenja",IF(VALUE(MID(C111,13,1))&lt;&gt;J111,"Pogrešna kontrolna cifra — treba "&amp;J111,"✓ ispravan")))))</f>
        <v/>
      </c>
      <c r="I111">
        <f>IFERROR(IF(LEN(C111)&lt;&gt;13,"",7*(VALUE(MID(C111,1,1))+VALUE(MID(C111,7,1)))+6*(VALUE(MID(C111,2,1))+VALUE(MID(C111,8,1)))+5*(VALUE(MID(C111,3,1))+VALUE(MID(C111,9,1)))+4*(VALUE(MID(C111,4,1))+VALUE(MID(C111,10,1)))+3*(VALUE(MID(C111,5,1))+VALUE(MID(C111,11,1)))+2*(VALUE(MID(C111,6,1))+VALUE(MID(C111,12,1)))),"")</f>
        <v/>
      </c>
      <c r="J111">
        <f>IF(I111="","",IF(11-MOD(I111,11)&gt;9,0,11-MOD(I111,11)))</f>
        <v/>
      </c>
      <c r="K111">
        <f>IFERROR(IF(LEN(C111)&lt;&gt;13,"",IF(VALUE(MID(C111,5,3))&gt;=800,1000,2000)+VALUE(MID(C111,5,3))),"")</f>
        <v/>
      </c>
      <c r="L111">
        <f>IFERROR(IF(K111="","",IF(AND(DAY(DATE(K111,VALUE(MID(C111,3,2)),VALUE(MID(C111,1,2))))=VALUE(MID(C111,1,2)),MONTH(DATE(K111,VALUE(MID(C111,3,2)),VALUE(MID(C111,1,2))))=VALUE(MID(C111,3,2))),DATE(K111,VALUE(MID(C111,3,2)),VALUE(MID(C111,1,2))),"")),"")</f>
        <v/>
      </c>
    </row>
    <row r="112">
      <c r="A112" s="2" t="n"/>
      <c r="B112" s="2" t="n"/>
      <c r="C112" s="3" t="n"/>
      <c r="D112" s="2" t="n"/>
      <c r="E112" s="4" t="n"/>
      <c r="F112" s="2" t="n"/>
      <c r="G112" s="2" t="n"/>
      <c r="H112" s="2">
        <f>IF(C112="","",IF(LEN(C112)&lt;&gt;13,"Nema 13 cifara (ima "&amp;LEN(C112)&amp;")",IF(J112="","JMBG sadrži nešto što nije cifra",IF(L112="","Nepostojeći datum rođenja",IF(VALUE(MID(C112,13,1))&lt;&gt;J112,"Pogrešna kontrolna cifra — treba "&amp;J112,"✓ ispravan")))))</f>
        <v/>
      </c>
      <c r="I112">
        <f>IFERROR(IF(LEN(C112)&lt;&gt;13,"",7*(VALUE(MID(C112,1,1))+VALUE(MID(C112,7,1)))+6*(VALUE(MID(C112,2,1))+VALUE(MID(C112,8,1)))+5*(VALUE(MID(C112,3,1))+VALUE(MID(C112,9,1)))+4*(VALUE(MID(C112,4,1))+VALUE(MID(C112,10,1)))+3*(VALUE(MID(C112,5,1))+VALUE(MID(C112,11,1)))+2*(VALUE(MID(C112,6,1))+VALUE(MID(C112,12,1)))),"")</f>
        <v/>
      </c>
      <c r="J112">
        <f>IF(I112="","",IF(11-MOD(I112,11)&gt;9,0,11-MOD(I112,11)))</f>
        <v/>
      </c>
      <c r="K112">
        <f>IFERROR(IF(LEN(C112)&lt;&gt;13,"",IF(VALUE(MID(C112,5,3))&gt;=800,1000,2000)+VALUE(MID(C112,5,3))),"")</f>
        <v/>
      </c>
      <c r="L112">
        <f>IFERROR(IF(K112="","",IF(AND(DAY(DATE(K112,VALUE(MID(C112,3,2)),VALUE(MID(C112,1,2))))=VALUE(MID(C112,1,2)),MONTH(DATE(K112,VALUE(MID(C112,3,2)),VALUE(MID(C112,1,2))))=VALUE(MID(C112,3,2))),DATE(K112,VALUE(MID(C112,3,2)),VALUE(MID(C112,1,2))),"")),"")</f>
        <v/>
      </c>
    </row>
    <row r="113">
      <c r="A113" s="2" t="n"/>
      <c r="B113" s="2" t="n"/>
      <c r="C113" s="3" t="n"/>
      <c r="D113" s="2" t="n"/>
      <c r="E113" s="4" t="n"/>
      <c r="F113" s="2" t="n"/>
      <c r="G113" s="2" t="n"/>
      <c r="H113" s="2">
        <f>IF(C113="","",IF(LEN(C113)&lt;&gt;13,"Nema 13 cifara (ima "&amp;LEN(C113)&amp;")",IF(J113="","JMBG sadrži nešto što nije cifra",IF(L113="","Nepostojeći datum rođenja",IF(VALUE(MID(C113,13,1))&lt;&gt;J113,"Pogrešna kontrolna cifra — treba "&amp;J113,"✓ ispravan")))))</f>
        <v/>
      </c>
      <c r="I113">
        <f>IFERROR(IF(LEN(C113)&lt;&gt;13,"",7*(VALUE(MID(C113,1,1))+VALUE(MID(C113,7,1)))+6*(VALUE(MID(C113,2,1))+VALUE(MID(C113,8,1)))+5*(VALUE(MID(C113,3,1))+VALUE(MID(C113,9,1)))+4*(VALUE(MID(C113,4,1))+VALUE(MID(C113,10,1)))+3*(VALUE(MID(C113,5,1))+VALUE(MID(C113,11,1)))+2*(VALUE(MID(C113,6,1))+VALUE(MID(C113,12,1)))),"")</f>
        <v/>
      </c>
      <c r="J113">
        <f>IF(I113="","",IF(11-MOD(I113,11)&gt;9,0,11-MOD(I113,11)))</f>
        <v/>
      </c>
      <c r="K113">
        <f>IFERROR(IF(LEN(C113)&lt;&gt;13,"",IF(VALUE(MID(C113,5,3))&gt;=800,1000,2000)+VALUE(MID(C113,5,3))),"")</f>
        <v/>
      </c>
      <c r="L113">
        <f>IFERROR(IF(K113="","",IF(AND(DAY(DATE(K113,VALUE(MID(C113,3,2)),VALUE(MID(C113,1,2))))=VALUE(MID(C113,1,2)),MONTH(DATE(K113,VALUE(MID(C113,3,2)),VALUE(MID(C113,1,2))))=VALUE(MID(C113,3,2))),DATE(K113,VALUE(MID(C113,3,2)),VALUE(MID(C113,1,2))),"")),"")</f>
        <v/>
      </c>
    </row>
    <row r="114">
      <c r="A114" s="2" t="n"/>
      <c r="B114" s="2" t="n"/>
      <c r="C114" s="3" t="n"/>
      <c r="D114" s="2" t="n"/>
      <c r="E114" s="4" t="n"/>
      <c r="F114" s="2" t="n"/>
      <c r="G114" s="2" t="n"/>
      <c r="H114" s="2">
        <f>IF(C114="","",IF(LEN(C114)&lt;&gt;13,"Nema 13 cifara (ima "&amp;LEN(C114)&amp;")",IF(J114="","JMBG sadrži nešto što nije cifra",IF(L114="","Nepostojeći datum rođenja",IF(VALUE(MID(C114,13,1))&lt;&gt;J114,"Pogrešna kontrolna cifra — treba "&amp;J114,"✓ ispravan")))))</f>
        <v/>
      </c>
      <c r="I114">
        <f>IFERROR(IF(LEN(C114)&lt;&gt;13,"",7*(VALUE(MID(C114,1,1))+VALUE(MID(C114,7,1)))+6*(VALUE(MID(C114,2,1))+VALUE(MID(C114,8,1)))+5*(VALUE(MID(C114,3,1))+VALUE(MID(C114,9,1)))+4*(VALUE(MID(C114,4,1))+VALUE(MID(C114,10,1)))+3*(VALUE(MID(C114,5,1))+VALUE(MID(C114,11,1)))+2*(VALUE(MID(C114,6,1))+VALUE(MID(C114,12,1)))),"")</f>
        <v/>
      </c>
      <c r="J114">
        <f>IF(I114="","",IF(11-MOD(I114,11)&gt;9,0,11-MOD(I114,11)))</f>
        <v/>
      </c>
      <c r="K114">
        <f>IFERROR(IF(LEN(C114)&lt;&gt;13,"",IF(VALUE(MID(C114,5,3))&gt;=800,1000,2000)+VALUE(MID(C114,5,3))),"")</f>
        <v/>
      </c>
      <c r="L114">
        <f>IFERROR(IF(K114="","",IF(AND(DAY(DATE(K114,VALUE(MID(C114,3,2)),VALUE(MID(C114,1,2))))=VALUE(MID(C114,1,2)),MONTH(DATE(K114,VALUE(MID(C114,3,2)),VALUE(MID(C114,1,2))))=VALUE(MID(C114,3,2))),DATE(K114,VALUE(MID(C114,3,2)),VALUE(MID(C114,1,2))),"")),"")</f>
        <v/>
      </c>
    </row>
    <row r="115">
      <c r="A115" s="2" t="n"/>
      <c r="B115" s="2" t="n"/>
      <c r="C115" s="3" t="n"/>
      <c r="D115" s="2" t="n"/>
      <c r="E115" s="4" t="n"/>
      <c r="F115" s="2" t="n"/>
      <c r="G115" s="2" t="n"/>
      <c r="H115" s="2">
        <f>IF(C115="","",IF(LEN(C115)&lt;&gt;13,"Nema 13 cifara (ima "&amp;LEN(C115)&amp;")",IF(J115="","JMBG sadrži nešto što nije cifra",IF(L115="","Nepostojeći datum rođenja",IF(VALUE(MID(C115,13,1))&lt;&gt;J115,"Pogrešna kontrolna cifra — treba "&amp;J115,"✓ ispravan")))))</f>
        <v/>
      </c>
      <c r="I115">
        <f>IFERROR(IF(LEN(C115)&lt;&gt;13,"",7*(VALUE(MID(C115,1,1))+VALUE(MID(C115,7,1)))+6*(VALUE(MID(C115,2,1))+VALUE(MID(C115,8,1)))+5*(VALUE(MID(C115,3,1))+VALUE(MID(C115,9,1)))+4*(VALUE(MID(C115,4,1))+VALUE(MID(C115,10,1)))+3*(VALUE(MID(C115,5,1))+VALUE(MID(C115,11,1)))+2*(VALUE(MID(C115,6,1))+VALUE(MID(C115,12,1)))),"")</f>
        <v/>
      </c>
      <c r="J115">
        <f>IF(I115="","",IF(11-MOD(I115,11)&gt;9,0,11-MOD(I115,11)))</f>
        <v/>
      </c>
      <c r="K115">
        <f>IFERROR(IF(LEN(C115)&lt;&gt;13,"",IF(VALUE(MID(C115,5,3))&gt;=800,1000,2000)+VALUE(MID(C115,5,3))),"")</f>
        <v/>
      </c>
      <c r="L115">
        <f>IFERROR(IF(K115="","",IF(AND(DAY(DATE(K115,VALUE(MID(C115,3,2)),VALUE(MID(C115,1,2))))=VALUE(MID(C115,1,2)),MONTH(DATE(K115,VALUE(MID(C115,3,2)),VALUE(MID(C115,1,2))))=VALUE(MID(C115,3,2))),DATE(K115,VALUE(MID(C115,3,2)),VALUE(MID(C115,1,2))),"")),"")</f>
        <v/>
      </c>
    </row>
    <row r="116">
      <c r="A116" s="2" t="n"/>
      <c r="B116" s="2" t="n"/>
      <c r="C116" s="3" t="n"/>
      <c r="D116" s="2" t="n"/>
      <c r="E116" s="4" t="n"/>
      <c r="F116" s="2" t="n"/>
      <c r="G116" s="2" t="n"/>
      <c r="H116" s="2">
        <f>IF(C116="","",IF(LEN(C116)&lt;&gt;13,"Nema 13 cifara (ima "&amp;LEN(C116)&amp;")",IF(J116="","JMBG sadrži nešto što nije cifra",IF(L116="","Nepostojeći datum rođenja",IF(VALUE(MID(C116,13,1))&lt;&gt;J116,"Pogrešna kontrolna cifra — treba "&amp;J116,"✓ ispravan")))))</f>
        <v/>
      </c>
      <c r="I116">
        <f>IFERROR(IF(LEN(C116)&lt;&gt;13,"",7*(VALUE(MID(C116,1,1))+VALUE(MID(C116,7,1)))+6*(VALUE(MID(C116,2,1))+VALUE(MID(C116,8,1)))+5*(VALUE(MID(C116,3,1))+VALUE(MID(C116,9,1)))+4*(VALUE(MID(C116,4,1))+VALUE(MID(C116,10,1)))+3*(VALUE(MID(C116,5,1))+VALUE(MID(C116,11,1)))+2*(VALUE(MID(C116,6,1))+VALUE(MID(C116,12,1)))),"")</f>
        <v/>
      </c>
      <c r="J116">
        <f>IF(I116="","",IF(11-MOD(I116,11)&gt;9,0,11-MOD(I116,11)))</f>
        <v/>
      </c>
      <c r="K116">
        <f>IFERROR(IF(LEN(C116)&lt;&gt;13,"",IF(VALUE(MID(C116,5,3))&gt;=800,1000,2000)+VALUE(MID(C116,5,3))),"")</f>
        <v/>
      </c>
      <c r="L116">
        <f>IFERROR(IF(K116="","",IF(AND(DAY(DATE(K116,VALUE(MID(C116,3,2)),VALUE(MID(C116,1,2))))=VALUE(MID(C116,1,2)),MONTH(DATE(K116,VALUE(MID(C116,3,2)),VALUE(MID(C116,1,2))))=VALUE(MID(C116,3,2))),DATE(K116,VALUE(MID(C116,3,2)),VALUE(MID(C116,1,2))),"")),"")</f>
        <v/>
      </c>
    </row>
    <row r="117">
      <c r="A117" s="2" t="n"/>
      <c r="B117" s="2" t="n"/>
      <c r="C117" s="3" t="n"/>
      <c r="D117" s="2" t="n"/>
      <c r="E117" s="4" t="n"/>
      <c r="F117" s="2" t="n"/>
      <c r="G117" s="2" t="n"/>
      <c r="H117" s="2">
        <f>IF(C117="","",IF(LEN(C117)&lt;&gt;13,"Nema 13 cifara (ima "&amp;LEN(C117)&amp;")",IF(J117="","JMBG sadrži nešto što nije cifra",IF(L117="","Nepostojeći datum rođenja",IF(VALUE(MID(C117,13,1))&lt;&gt;J117,"Pogrešna kontrolna cifra — treba "&amp;J117,"✓ ispravan")))))</f>
        <v/>
      </c>
      <c r="I117">
        <f>IFERROR(IF(LEN(C117)&lt;&gt;13,"",7*(VALUE(MID(C117,1,1))+VALUE(MID(C117,7,1)))+6*(VALUE(MID(C117,2,1))+VALUE(MID(C117,8,1)))+5*(VALUE(MID(C117,3,1))+VALUE(MID(C117,9,1)))+4*(VALUE(MID(C117,4,1))+VALUE(MID(C117,10,1)))+3*(VALUE(MID(C117,5,1))+VALUE(MID(C117,11,1)))+2*(VALUE(MID(C117,6,1))+VALUE(MID(C117,12,1)))),"")</f>
        <v/>
      </c>
      <c r="J117">
        <f>IF(I117="","",IF(11-MOD(I117,11)&gt;9,0,11-MOD(I117,11)))</f>
        <v/>
      </c>
      <c r="K117">
        <f>IFERROR(IF(LEN(C117)&lt;&gt;13,"",IF(VALUE(MID(C117,5,3))&gt;=800,1000,2000)+VALUE(MID(C117,5,3))),"")</f>
        <v/>
      </c>
      <c r="L117">
        <f>IFERROR(IF(K117="","",IF(AND(DAY(DATE(K117,VALUE(MID(C117,3,2)),VALUE(MID(C117,1,2))))=VALUE(MID(C117,1,2)),MONTH(DATE(K117,VALUE(MID(C117,3,2)),VALUE(MID(C117,1,2))))=VALUE(MID(C117,3,2))),DATE(K117,VALUE(MID(C117,3,2)),VALUE(MID(C117,1,2))),"")),"")</f>
        <v/>
      </c>
    </row>
    <row r="118">
      <c r="A118" s="2" t="n"/>
      <c r="B118" s="2" t="n"/>
      <c r="C118" s="3" t="n"/>
      <c r="D118" s="2" t="n"/>
      <c r="E118" s="4" t="n"/>
      <c r="F118" s="2" t="n"/>
      <c r="G118" s="2" t="n"/>
      <c r="H118" s="2">
        <f>IF(C118="","",IF(LEN(C118)&lt;&gt;13,"Nema 13 cifara (ima "&amp;LEN(C118)&amp;")",IF(J118="","JMBG sadrži nešto što nije cifra",IF(L118="","Nepostojeći datum rođenja",IF(VALUE(MID(C118,13,1))&lt;&gt;J118,"Pogrešna kontrolna cifra — treba "&amp;J118,"✓ ispravan")))))</f>
        <v/>
      </c>
      <c r="I118">
        <f>IFERROR(IF(LEN(C118)&lt;&gt;13,"",7*(VALUE(MID(C118,1,1))+VALUE(MID(C118,7,1)))+6*(VALUE(MID(C118,2,1))+VALUE(MID(C118,8,1)))+5*(VALUE(MID(C118,3,1))+VALUE(MID(C118,9,1)))+4*(VALUE(MID(C118,4,1))+VALUE(MID(C118,10,1)))+3*(VALUE(MID(C118,5,1))+VALUE(MID(C118,11,1)))+2*(VALUE(MID(C118,6,1))+VALUE(MID(C118,12,1)))),"")</f>
        <v/>
      </c>
      <c r="J118">
        <f>IF(I118="","",IF(11-MOD(I118,11)&gt;9,0,11-MOD(I118,11)))</f>
        <v/>
      </c>
      <c r="K118">
        <f>IFERROR(IF(LEN(C118)&lt;&gt;13,"",IF(VALUE(MID(C118,5,3))&gt;=800,1000,2000)+VALUE(MID(C118,5,3))),"")</f>
        <v/>
      </c>
      <c r="L118">
        <f>IFERROR(IF(K118="","",IF(AND(DAY(DATE(K118,VALUE(MID(C118,3,2)),VALUE(MID(C118,1,2))))=VALUE(MID(C118,1,2)),MONTH(DATE(K118,VALUE(MID(C118,3,2)),VALUE(MID(C118,1,2))))=VALUE(MID(C118,3,2))),DATE(K118,VALUE(MID(C118,3,2)),VALUE(MID(C118,1,2))),"")),"")</f>
        <v/>
      </c>
    </row>
    <row r="119">
      <c r="A119" s="2" t="n"/>
      <c r="B119" s="2" t="n"/>
      <c r="C119" s="3" t="n"/>
      <c r="D119" s="2" t="n"/>
      <c r="E119" s="4" t="n"/>
      <c r="F119" s="2" t="n"/>
      <c r="G119" s="2" t="n"/>
      <c r="H119" s="2">
        <f>IF(C119="","",IF(LEN(C119)&lt;&gt;13,"Nema 13 cifara (ima "&amp;LEN(C119)&amp;")",IF(J119="","JMBG sadrži nešto što nije cifra",IF(L119="","Nepostojeći datum rođenja",IF(VALUE(MID(C119,13,1))&lt;&gt;J119,"Pogrešna kontrolna cifra — treba "&amp;J119,"✓ ispravan")))))</f>
        <v/>
      </c>
      <c r="I119">
        <f>IFERROR(IF(LEN(C119)&lt;&gt;13,"",7*(VALUE(MID(C119,1,1))+VALUE(MID(C119,7,1)))+6*(VALUE(MID(C119,2,1))+VALUE(MID(C119,8,1)))+5*(VALUE(MID(C119,3,1))+VALUE(MID(C119,9,1)))+4*(VALUE(MID(C119,4,1))+VALUE(MID(C119,10,1)))+3*(VALUE(MID(C119,5,1))+VALUE(MID(C119,11,1)))+2*(VALUE(MID(C119,6,1))+VALUE(MID(C119,12,1)))),"")</f>
        <v/>
      </c>
      <c r="J119">
        <f>IF(I119="","",IF(11-MOD(I119,11)&gt;9,0,11-MOD(I119,11)))</f>
        <v/>
      </c>
      <c r="K119">
        <f>IFERROR(IF(LEN(C119)&lt;&gt;13,"",IF(VALUE(MID(C119,5,3))&gt;=800,1000,2000)+VALUE(MID(C119,5,3))),"")</f>
        <v/>
      </c>
      <c r="L119">
        <f>IFERROR(IF(K119="","",IF(AND(DAY(DATE(K119,VALUE(MID(C119,3,2)),VALUE(MID(C119,1,2))))=VALUE(MID(C119,1,2)),MONTH(DATE(K119,VALUE(MID(C119,3,2)),VALUE(MID(C119,1,2))))=VALUE(MID(C119,3,2))),DATE(K119,VALUE(MID(C119,3,2)),VALUE(MID(C119,1,2))),"")),"")</f>
        <v/>
      </c>
    </row>
    <row r="120">
      <c r="A120" s="2" t="n"/>
      <c r="B120" s="2" t="n"/>
      <c r="C120" s="3" t="n"/>
      <c r="D120" s="2" t="n"/>
      <c r="E120" s="4" t="n"/>
      <c r="F120" s="2" t="n"/>
      <c r="G120" s="2" t="n"/>
      <c r="H120" s="2">
        <f>IF(C120="","",IF(LEN(C120)&lt;&gt;13,"Nema 13 cifara (ima "&amp;LEN(C120)&amp;")",IF(J120="","JMBG sadrži nešto što nije cifra",IF(L120="","Nepostojeći datum rođenja",IF(VALUE(MID(C120,13,1))&lt;&gt;J120,"Pogrešna kontrolna cifra — treba "&amp;J120,"✓ ispravan")))))</f>
        <v/>
      </c>
      <c r="I120">
        <f>IFERROR(IF(LEN(C120)&lt;&gt;13,"",7*(VALUE(MID(C120,1,1))+VALUE(MID(C120,7,1)))+6*(VALUE(MID(C120,2,1))+VALUE(MID(C120,8,1)))+5*(VALUE(MID(C120,3,1))+VALUE(MID(C120,9,1)))+4*(VALUE(MID(C120,4,1))+VALUE(MID(C120,10,1)))+3*(VALUE(MID(C120,5,1))+VALUE(MID(C120,11,1)))+2*(VALUE(MID(C120,6,1))+VALUE(MID(C120,12,1)))),"")</f>
        <v/>
      </c>
      <c r="J120">
        <f>IF(I120="","",IF(11-MOD(I120,11)&gt;9,0,11-MOD(I120,11)))</f>
        <v/>
      </c>
      <c r="K120">
        <f>IFERROR(IF(LEN(C120)&lt;&gt;13,"",IF(VALUE(MID(C120,5,3))&gt;=800,1000,2000)+VALUE(MID(C120,5,3))),"")</f>
        <v/>
      </c>
      <c r="L120">
        <f>IFERROR(IF(K120="","",IF(AND(DAY(DATE(K120,VALUE(MID(C120,3,2)),VALUE(MID(C120,1,2))))=VALUE(MID(C120,1,2)),MONTH(DATE(K120,VALUE(MID(C120,3,2)),VALUE(MID(C120,1,2))))=VALUE(MID(C120,3,2))),DATE(K120,VALUE(MID(C120,3,2)),VALUE(MID(C120,1,2))),"")),"")</f>
        <v/>
      </c>
    </row>
    <row r="121">
      <c r="A121" s="2" t="n"/>
      <c r="B121" s="2" t="n"/>
      <c r="C121" s="3" t="n"/>
      <c r="D121" s="2" t="n"/>
      <c r="E121" s="4" t="n"/>
      <c r="F121" s="2" t="n"/>
      <c r="G121" s="2" t="n"/>
      <c r="H121" s="2">
        <f>IF(C121="","",IF(LEN(C121)&lt;&gt;13,"Nema 13 cifara (ima "&amp;LEN(C121)&amp;")",IF(J121="","JMBG sadrži nešto što nije cifra",IF(L121="","Nepostojeći datum rođenja",IF(VALUE(MID(C121,13,1))&lt;&gt;J121,"Pogrešna kontrolna cifra — treba "&amp;J121,"✓ ispravan")))))</f>
        <v/>
      </c>
      <c r="I121">
        <f>IFERROR(IF(LEN(C121)&lt;&gt;13,"",7*(VALUE(MID(C121,1,1))+VALUE(MID(C121,7,1)))+6*(VALUE(MID(C121,2,1))+VALUE(MID(C121,8,1)))+5*(VALUE(MID(C121,3,1))+VALUE(MID(C121,9,1)))+4*(VALUE(MID(C121,4,1))+VALUE(MID(C121,10,1)))+3*(VALUE(MID(C121,5,1))+VALUE(MID(C121,11,1)))+2*(VALUE(MID(C121,6,1))+VALUE(MID(C121,12,1)))),"")</f>
        <v/>
      </c>
      <c r="J121">
        <f>IF(I121="","",IF(11-MOD(I121,11)&gt;9,0,11-MOD(I121,11)))</f>
        <v/>
      </c>
      <c r="K121">
        <f>IFERROR(IF(LEN(C121)&lt;&gt;13,"",IF(VALUE(MID(C121,5,3))&gt;=800,1000,2000)+VALUE(MID(C121,5,3))),"")</f>
        <v/>
      </c>
      <c r="L121">
        <f>IFERROR(IF(K121="","",IF(AND(DAY(DATE(K121,VALUE(MID(C121,3,2)),VALUE(MID(C121,1,2))))=VALUE(MID(C121,1,2)),MONTH(DATE(K121,VALUE(MID(C121,3,2)),VALUE(MID(C121,1,2))))=VALUE(MID(C121,3,2))),DATE(K121,VALUE(MID(C121,3,2)),VALUE(MID(C121,1,2))),"")),"")</f>
        <v/>
      </c>
    </row>
    <row r="122">
      <c r="A122" s="2" t="n"/>
      <c r="B122" s="2" t="n"/>
      <c r="C122" s="3" t="n"/>
      <c r="D122" s="2" t="n"/>
      <c r="E122" s="4" t="n"/>
      <c r="F122" s="2" t="n"/>
      <c r="G122" s="2" t="n"/>
      <c r="H122" s="2">
        <f>IF(C122="","",IF(LEN(C122)&lt;&gt;13,"Nema 13 cifara (ima "&amp;LEN(C122)&amp;")",IF(J122="","JMBG sadrži nešto što nije cifra",IF(L122="","Nepostojeći datum rođenja",IF(VALUE(MID(C122,13,1))&lt;&gt;J122,"Pogrešna kontrolna cifra — treba "&amp;J122,"✓ ispravan")))))</f>
        <v/>
      </c>
      <c r="I122">
        <f>IFERROR(IF(LEN(C122)&lt;&gt;13,"",7*(VALUE(MID(C122,1,1))+VALUE(MID(C122,7,1)))+6*(VALUE(MID(C122,2,1))+VALUE(MID(C122,8,1)))+5*(VALUE(MID(C122,3,1))+VALUE(MID(C122,9,1)))+4*(VALUE(MID(C122,4,1))+VALUE(MID(C122,10,1)))+3*(VALUE(MID(C122,5,1))+VALUE(MID(C122,11,1)))+2*(VALUE(MID(C122,6,1))+VALUE(MID(C122,12,1)))),"")</f>
        <v/>
      </c>
      <c r="J122">
        <f>IF(I122="","",IF(11-MOD(I122,11)&gt;9,0,11-MOD(I122,11)))</f>
        <v/>
      </c>
      <c r="K122">
        <f>IFERROR(IF(LEN(C122)&lt;&gt;13,"",IF(VALUE(MID(C122,5,3))&gt;=800,1000,2000)+VALUE(MID(C122,5,3))),"")</f>
        <v/>
      </c>
      <c r="L122">
        <f>IFERROR(IF(K122="","",IF(AND(DAY(DATE(K122,VALUE(MID(C122,3,2)),VALUE(MID(C122,1,2))))=VALUE(MID(C122,1,2)),MONTH(DATE(K122,VALUE(MID(C122,3,2)),VALUE(MID(C122,1,2))))=VALUE(MID(C122,3,2))),DATE(K122,VALUE(MID(C122,3,2)),VALUE(MID(C122,1,2))),"")),"")</f>
        <v/>
      </c>
    </row>
    <row r="123">
      <c r="A123" s="2" t="n"/>
      <c r="B123" s="2" t="n"/>
      <c r="C123" s="3" t="n"/>
      <c r="D123" s="2" t="n"/>
      <c r="E123" s="4" t="n"/>
      <c r="F123" s="2" t="n"/>
      <c r="G123" s="2" t="n"/>
      <c r="H123" s="2">
        <f>IF(C123="","",IF(LEN(C123)&lt;&gt;13,"Nema 13 cifara (ima "&amp;LEN(C123)&amp;")",IF(J123="","JMBG sadrži nešto što nije cifra",IF(L123="","Nepostojeći datum rođenja",IF(VALUE(MID(C123,13,1))&lt;&gt;J123,"Pogrešna kontrolna cifra — treba "&amp;J123,"✓ ispravan")))))</f>
        <v/>
      </c>
      <c r="I123">
        <f>IFERROR(IF(LEN(C123)&lt;&gt;13,"",7*(VALUE(MID(C123,1,1))+VALUE(MID(C123,7,1)))+6*(VALUE(MID(C123,2,1))+VALUE(MID(C123,8,1)))+5*(VALUE(MID(C123,3,1))+VALUE(MID(C123,9,1)))+4*(VALUE(MID(C123,4,1))+VALUE(MID(C123,10,1)))+3*(VALUE(MID(C123,5,1))+VALUE(MID(C123,11,1)))+2*(VALUE(MID(C123,6,1))+VALUE(MID(C123,12,1)))),"")</f>
        <v/>
      </c>
      <c r="J123">
        <f>IF(I123="","",IF(11-MOD(I123,11)&gt;9,0,11-MOD(I123,11)))</f>
        <v/>
      </c>
      <c r="K123">
        <f>IFERROR(IF(LEN(C123)&lt;&gt;13,"",IF(VALUE(MID(C123,5,3))&gt;=800,1000,2000)+VALUE(MID(C123,5,3))),"")</f>
        <v/>
      </c>
      <c r="L123">
        <f>IFERROR(IF(K123="","",IF(AND(DAY(DATE(K123,VALUE(MID(C123,3,2)),VALUE(MID(C123,1,2))))=VALUE(MID(C123,1,2)),MONTH(DATE(K123,VALUE(MID(C123,3,2)),VALUE(MID(C123,1,2))))=VALUE(MID(C123,3,2))),DATE(K123,VALUE(MID(C123,3,2)),VALUE(MID(C123,1,2))),"")),"")</f>
        <v/>
      </c>
    </row>
    <row r="124">
      <c r="A124" s="2" t="n"/>
      <c r="B124" s="2" t="n"/>
      <c r="C124" s="3" t="n"/>
      <c r="D124" s="2" t="n"/>
      <c r="E124" s="4" t="n"/>
      <c r="F124" s="2" t="n"/>
      <c r="G124" s="2" t="n"/>
      <c r="H124" s="2">
        <f>IF(C124="","",IF(LEN(C124)&lt;&gt;13,"Nema 13 cifara (ima "&amp;LEN(C124)&amp;")",IF(J124="","JMBG sadrži nešto što nije cifra",IF(L124="","Nepostojeći datum rođenja",IF(VALUE(MID(C124,13,1))&lt;&gt;J124,"Pogrešna kontrolna cifra — treba "&amp;J124,"✓ ispravan")))))</f>
        <v/>
      </c>
      <c r="I124">
        <f>IFERROR(IF(LEN(C124)&lt;&gt;13,"",7*(VALUE(MID(C124,1,1))+VALUE(MID(C124,7,1)))+6*(VALUE(MID(C124,2,1))+VALUE(MID(C124,8,1)))+5*(VALUE(MID(C124,3,1))+VALUE(MID(C124,9,1)))+4*(VALUE(MID(C124,4,1))+VALUE(MID(C124,10,1)))+3*(VALUE(MID(C124,5,1))+VALUE(MID(C124,11,1)))+2*(VALUE(MID(C124,6,1))+VALUE(MID(C124,12,1)))),"")</f>
        <v/>
      </c>
      <c r="J124">
        <f>IF(I124="","",IF(11-MOD(I124,11)&gt;9,0,11-MOD(I124,11)))</f>
        <v/>
      </c>
      <c r="K124">
        <f>IFERROR(IF(LEN(C124)&lt;&gt;13,"",IF(VALUE(MID(C124,5,3))&gt;=800,1000,2000)+VALUE(MID(C124,5,3))),"")</f>
        <v/>
      </c>
      <c r="L124">
        <f>IFERROR(IF(K124="","",IF(AND(DAY(DATE(K124,VALUE(MID(C124,3,2)),VALUE(MID(C124,1,2))))=VALUE(MID(C124,1,2)),MONTH(DATE(K124,VALUE(MID(C124,3,2)),VALUE(MID(C124,1,2))))=VALUE(MID(C124,3,2))),DATE(K124,VALUE(MID(C124,3,2)),VALUE(MID(C124,1,2))),"")),"")</f>
        <v/>
      </c>
    </row>
    <row r="125">
      <c r="A125" s="2" t="n"/>
      <c r="B125" s="2" t="n"/>
      <c r="C125" s="3" t="n"/>
      <c r="D125" s="2" t="n"/>
      <c r="E125" s="4" t="n"/>
      <c r="F125" s="2" t="n"/>
      <c r="G125" s="2" t="n"/>
      <c r="H125" s="2">
        <f>IF(C125="","",IF(LEN(C125)&lt;&gt;13,"Nema 13 cifara (ima "&amp;LEN(C125)&amp;")",IF(J125="","JMBG sadrži nešto što nije cifra",IF(L125="","Nepostojeći datum rođenja",IF(VALUE(MID(C125,13,1))&lt;&gt;J125,"Pogrešna kontrolna cifra — treba "&amp;J125,"✓ ispravan")))))</f>
        <v/>
      </c>
      <c r="I125">
        <f>IFERROR(IF(LEN(C125)&lt;&gt;13,"",7*(VALUE(MID(C125,1,1))+VALUE(MID(C125,7,1)))+6*(VALUE(MID(C125,2,1))+VALUE(MID(C125,8,1)))+5*(VALUE(MID(C125,3,1))+VALUE(MID(C125,9,1)))+4*(VALUE(MID(C125,4,1))+VALUE(MID(C125,10,1)))+3*(VALUE(MID(C125,5,1))+VALUE(MID(C125,11,1)))+2*(VALUE(MID(C125,6,1))+VALUE(MID(C125,12,1)))),"")</f>
        <v/>
      </c>
      <c r="J125">
        <f>IF(I125="","",IF(11-MOD(I125,11)&gt;9,0,11-MOD(I125,11)))</f>
        <v/>
      </c>
      <c r="K125">
        <f>IFERROR(IF(LEN(C125)&lt;&gt;13,"",IF(VALUE(MID(C125,5,3))&gt;=800,1000,2000)+VALUE(MID(C125,5,3))),"")</f>
        <v/>
      </c>
      <c r="L125">
        <f>IFERROR(IF(K125="","",IF(AND(DAY(DATE(K125,VALUE(MID(C125,3,2)),VALUE(MID(C125,1,2))))=VALUE(MID(C125,1,2)),MONTH(DATE(K125,VALUE(MID(C125,3,2)),VALUE(MID(C125,1,2))))=VALUE(MID(C125,3,2))),DATE(K125,VALUE(MID(C125,3,2)),VALUE(MID(C125,1,2))),"")),"")</f>
        <v/>
      </c>
    </row>
    <row r="126">
      <c r="A126" s="2" t="n"/>
      <c r="B126" s="2" t="n"/>
      <c r="C126" s="3" t="n"/>
      <c r="D126" s="2" t="n"/>
      <c r="E126" s="4" t="n"/>
      <c r="F126" s="2" t="n"/>
      <c r="G126" s="2" t="n"/>
      <c r="H126" s="2">
        <f>IF(C126="","",IF(LEN(C126)&lt;&gt;13,"Nema 13 cifara (ima "&amp;LEN(C126)&amp;")",IF(J126="","JMBG sadrži nešto što nije cifra",IF(L126="","Nepostojeći datum rođenja",IF(VALUE(MID(C126,13,1))&lt;&gt;J126,"Pogrešna kontrolna cifra — treba "&amp;J126,"✓ ispravan")))))</f>
        <v/>
      </c>
      <c r="I126">
        <f>IFERROR(IF(LEN(C126)&lt;&gt;13,"",7*(VALUE(MID(C126,1,1))+VALUE(MID(C126,7,1)))+6*(VALUE(MID(C126,2,1))+VALUE(MID(C126,8,1)))+5*(VALUE(MID(C126,3,1))+VALUE(MID(C126,9,1)))+4*(VALUE(MID(C126,4,1))+VALUE(MID(C126,10,1)))+3*(VALUE(MID(C126,5,1))+VALUE(MID(C126,11,1)))+2*(VALUE(MID(C126,6,1))+VALUE(MID(C126,12,1)))),"")</f>
        <v/>
      </c>
      <c r="J126">
        <f>IF(I126="","",IF(11-MOD(I126,11)&gt;9,0,11-MOD(I126,11)))</f>
        <v/>
      </c>
      <c r="K126">
        <f>IFERROR(IF(LEN(C126)&lt;&gt;13,"",IF(VALUE(MID(C126,5,3))&gt;=800,1000,2000)+VALUE(MID(C126,5,3))),"")</f>
        <v/>
      </c>
      <c r="L126">
        <f>IFERROR(IF(K126="","",IF(AND(DAY(DATE(K126,VALUE(MID(C126,3,2)),VALUE(MID(C126,1,2))))=VALUE(MID(C126,1,2)),MONTH(DATE(K126,VALUE(MID(C126,3,2)),VALUE(MID(C126,1,2))))=VALUE(MID(C126,3,2))),DATE(K126,VALUE(MID(C126,3,2)),VALUE(MID(C126,1,2))),"")),"")</f>
        <v/>
      </c>
    </row>
    <row r="127">
      <c r="A127" s="2" t="n"/>
      <c r="B127" s="2" t="n"/>
      <c r="C127" s="3" t="n"/>
      <c r="D127" s="2" t="n"/>
      <c r="E127" s="4" t="n"/>
      <c r="F127" s="2" t="n"/>
      <c r="G127" s="2" t="n"/>
      <c r="H127" s="2">
        <f>IF(C127="","",IF(LEN(C127)&lt;&gt;13,"Nema 13 cifara (ima "&amp;LEN(C127)&amp;")",IF(J127="","JMBG sadrži nešto što nije cifra",IF(L127="","Nepostojeći datum rođenja",IF(VALUE(MID(C127,13,1))&lt;&gt;J127,"Pogrešna kontrolna cifra — treba "&amp;J127,"✓ ispravan")))))</f>
        <v/>
      </c>
      <c r="I127">
        <f>IFERROR(IF(LEN(C127)&lt;&gt;13,"",7*(VALUE(MID(C127,1,1))+VALUE(MID(C127,7,1)))+6*(VALUE(MID(C127,2,1))+VALUE(MID(C127,8,1)))+5*(VALUE(MID(C127,3,1))+VALUE(MID(C127,9,1)))+4*(VALUE(MID(C127,4,1))+VALUE(MID(C127,10,1)))+3*(VALUE(MID(C127,5,1))+VALUE(MID(C127,11,1)))+2*(VALUE(MID(C127,6,1))+VALUE(MID(C127,12,1)))),"")</f>
        <v/>
      </c>
      <c r="J127">
        <f>IF(I127="","",IF(11-MOD(I127,11)&gt;9,0,11-MOD(I127,11)))</f>
        <v/>
      </c>
      <c r="K127">
        <f>IFERROR(IF(LEN(C127)&lt;&gt;13,"",IF(VALUE(MID(C127,5,3))&gt;=800,1000,2000)+VALUE(MID(C127,5,3))),"")</f>
        <v/>
      </c>
      <c r="L127">
        <f>IFERROR(IF(K127="","",IF(AND(DAY(DATE(K127,VALUE(MID(C127,3,2)),VALUE(MID(C127,1,2))))=VALUE(MID(C127,1,2)),MONTH(DATE(K127,VALUE(MID(C127,3,2)),VALUE(MID(C127,1,2))))=VALUE(MID(C127,3,2))),DATE(K127,VALUE(MID(C127,3,2)),VALUE(MID(C127,1,2))),"")),"")</f>
        <v/>
      </c>
    </row>
    <row r="128">
      <c r="A128" s="2" t="n"/>
      <c r="B128" s="2" t="n"/>
      <c r="C128" s="3" t="n"/>
      <c r="D128" s="2" t="n"/>
      <c r="E128" s="4" t="n"/>
      <c r="F128" s="2" t="n"/>
      <c r="G128" s="2" t="n"/>
      <c r="H128" s="2">
        <f>IF(C128="","",IF(LEN(C128)&lt;&gt;13,"Nema 13 cifara (ima "&amp;LEN(C128)&amp;")",IF(J128="","JMBG sadrži nešto što nije cifra",IF(L128="","Nepostojeći datum rođenja",IF(VALUE(MID(C128,13,1))&lt;&gt;J128,"Pogrešna kontrolna cifra — treba "&amp;J128,"✓ ispravan")))))</f>
        <v/>
      </c>
      <c r="I128">
        <f>IFERROR(IF(LEN(C128)&lt;&gt;13,"",7*(VALUE(MID(C128,1,1))+VALUE(MID(C128,7,1)))+6*(VALUE(MID(C128,2,1))+VALUE(MID(C128,8,1)))+5*(VALUE(MID(C128,3,1))+VALUE(MID(C128,9,1)))+4*(VALUE(MID(C128,4,1))+VALUE(MID(C128,10,1)))+3*(VALUE(MID(C128,5,1))+VALUE(MID(C128,11,1)))+2*(VALUE(MID(C128,6,1))+VALUE(MID(C128,12,1)))),"")</f>
        <v/>
      </c>
      <c r="J128">
        <f>IF(I128="","",IF(11-MOD(I128,11)&gt;9,0,11-MOD(I128,11)))</f>
        <v/>
      </c>
      <c r="K128">
        <f>IFERROR(IF(LEN(C128)&lt;&gt;13,"",IF(VALUE(MID(C128,5,3))&gt;=800,1000,2000)+VALUE(MID(C128,5,3))),"")</f>
        <v/>
      </c>
      <c r="L128">
        <f>IFERROR(IF(K128="","",IF(AND(DAY(DATE(K128,VALUE(MID(C128,3,2)),VALUE(MID(C128,1,2))))=VALUE(MID(C128,1,2)),MONTH(DATE(K128,VALUE(MID(C128,3,2)),VALUE(MID(C128,1,2))))=VALUE(MID(C128,3,2))),DATE(K128,VALUE(MID(C128,3,2)),VALUE(MID(C128,1,2))),"")),"")</f>
        <v/>
      </c>
    </row>
    <row r="129">
      <c r="A129" s="2" t="n"/>
      <c r="B129" s="2" t="n"/>
      <c r="C129" s="3" t="n"/>
      <c r="D129" s="2" t="n"/>
      <c r="E129" s="4" t="n"/>
      <c r="F129" s="2" t="n"/>
      <c r="G129" s="2" t="n"/>
      <c r="H129" s="2">
        <f>IF(C129="","",IF(LEN(C129)&lt;&gt;13,"Nema 13 cifara (ima "&amp;LEN(C129)&amp;")",IF(J129="","JMBG sadrži nešto što nije cifra",IF(L129="","Nepostojeći datum rođenja",IF(VALUE(MID(C129,13,1))&lt;&gt;J129,"Pogrešna kontrolna cifra — treba "&amp;J129,"✓ ispravan")))))</f>
        <v/>
      </c>
      <c r="I129">
        <f>IFERROR(IF(LEN(C129)&lt;&gt;13,"",7*(VALUE(MID(C129,1,1))+VALUE(MID(C129,7,1)))+6*(VALUE(MID(C129,2,1))+VALUE(MID(C129,8,1)))+5*(VALUE(MID(C129,3,1))+VALUE(MID(C129,9,1)))+4*(VALUE(MID(C129,4,1))+VALUE(MID(C129,10,1)))+3*(VALUE(MID(C129,5,1))+VALUE(MID(C129,11,1)))+2*(VALUE(MID(C129,6,1))+VALUE(MID(C129,12,1)))),"")</f>
        <v/>
      </c>
      <c r="J129">
        <f>IF(I129="","",IF(11-MOD(I129,11)&gt;9,0,11-MOD(I129,11)))</f>
        <v/>
      </c>
      <c r="K129">
        <f>IFERROR(IF(LEN(C129)&lt;&gt;13,"",IF(VALUE(MID(C129,5,3))&gt;=800,1000,2000)+VALUE(MID(C129,5,3))),"")</f>
        <v/>
      </c>
      <c r="L129">
        <f>IFERROR(IF(K129="","",IF(AND(DAY(DATE(K129,VALUE(MID(C129,3,2)),VALUE(MID(C129,1,2))))=VALUE(MID(C129,1,2)),MONTH(DATE(K129,VALUE(MID(C129,3,2)),VALUE(MID(C129,1,2))))=VALUE(MID(C129,3,2))),DATE(K129,VALUE(MID(C129,3,2)),VALUE(MID(C129,1,2))),"")),"")</f>
        <v/>
      </c>
    </row>
    <row r="130">
      <c r="A130" s="2" t="n"/>
      <c r="B130" s="2" t="n"/>
      <c r="C130" s="3" t="n"/>
      <c r="D130" s="2" t="n"/>
      <c r="E130" s="4" t="n"/>
      <c r="F130" s="2" t="n"/>
      <c r="G130" s="2" t="n"/>
      <c r="H130" s="2">
        <f>IF(C130="","",IF(LEN(C130)&lt;&gt;13,"Nema 13 cifara (ima "&amp;LEN(C130)&amp;")",IF(J130="","JMBG sadrži nešto što nije cifra",IF(L130="","Nepostojeći datum rođenja",IF(VALUE(MID(C130,13,1))&lt;&gt;J130,"Pogrešna kontrolna cifra — treba "&amp;J130,"✓ ispravan")))))</f>
        <v/>
      </c>
      <c r="I130">
        <f>IFERROR(IF(LEN(C130)&lt;&gt;13,"",7*(VALUE(MID(C130,1,1))+VALUE(MID(C130,7,1)))+6*(VALUE(MID(C130,2,1))+VALUE(MID(C130,8,1)))+5*(VALUE(MID(C130,3,1))+VALUE(MID(C130,9,1)))+4*(VALUE(MID(C130,4,1))+VALUE(MID(C130,10,1)))+3*(VALUE(MID(C130,5,1))+VALUE(MID(C130,11,1)))+2*(VALUE(MID(C130,6,1))+VALUE(MID(C130,12,1)))),"")</f>
        <v/>
      </c>
      <c r="J130">
        <f>IF(I130="","",IF(11-MOD(I130,11)&gt;9,0,11-MOD(I130,11)))</f>
        <v/>
      </c>
      <c r="K130">
        <f>IFERROR(IF(LEN(C130)&lt;&gt;13,"",IF(VALUE(MID(C130,5,3))&gt;=800,1000,2000)+VALUE(MID(C130,5,3))),"")</f>
        <v/>
      </c>
      <c r="L130">
        <f>IFERROR(IF(K130="","",IF(AND(DAY(DATE(K130,VALUE(MID(C130,3,2)),VALUE(MID(C130,1,2))))=VALUE(MID(C130,1,2)),MONTH(DATE(K130,VALUE(MID(C130,3,2)),VALUE(MID(C130,1,2))))=VALUE(MID(C130,3,2))),DATE(K130,VALUE(MID(C130,3,2)),VALUE(MID(C130,1,2))),"")),"")</f>
        <v/>
      </c>
    </row>
    <row r="131">
      <c r="A131" s="2" t="n"/>
      <c r="B131" s="2" t="n"/>
      <c r="C131" s="3" t="n"/>
      <c r="D131" s="2" t="n"/>
      <c r="E131" s="4" t="n"/>
      <c r="F131" s="2" t="n"/>
      <c r="G131" s="2" t="n"/>
      <c r="H131" s="2">
        <f>IF(C131="","",IF(LEN(C131)&lt;&gt;13,"Nema 13 cifara (ima "&amp;LEN(C131)&amp;")",IF(J131="","JMBG sadrži nešto što nije cifra",IF(L131="","Nepostojeći datum rođenja",IF(VALUE(MID(C131,13,1))&lt;&gt;J131,"Pogrešna kontrolna cifra — treba "&amp;J131,"✓ ispravan")))))</f>
        <v/>
      </c>
      <c r="I131">
        <f>IFERROR(IF(LEN(C131)&lt;&gt;13,"",7*(VALUE(MID(C131,1,1))+VALUE(MID(C131,7,1)))+6*(VALUE(MID(C131,2,1))+VALUE(MID(C131,8,1)))+5*(VALUE(MID(C131,3,1))+VALUE(MID(C131,9,1)))+4*(VALUE(MID(C131,4,1))+VALUE(MID(C131,10,1)))+3*(VALUE(MID(C131,5,1))+VALUE(MID(C131,11,1)))+2*(VALUE(MID(C131,6,1))+VALUE(MID(C131,12,1)))),"")</f>
        <v/>
      </c>
      <c r="J131">
        <f>IF(I131="","",IF(11-MOD(I131,11)&gt;9,0,11-MOD(I131,11)))</f>
        <v/>
      </c>
      <c r="K131">
        <f>IFERROR(IF(LEN(C131)&lt;&gt;13,"",IF(VALUE(MID(C131,5,3))&gt;=800,1000,2000)+VALUE(MID(C131,5,3))),"")</f>
        <v/>
      </c>
      <c r="L131">
        <f>IFERROR(IF(K131="","",IF(AND(DAY(DATE(K131,VALUE(MID(C131,3,2)),VALUE(MID(C131,1,2))))=VALUE(MID(C131,1,2)),MONTH(DATE(K131,VALUE(MID(C131,3,2)),VALUE(MID(C131,1,2))))=VALUE(MID(C131,3,2))),DATE(K131,VALUE(MID(C131,3,2)),VALUE(MID(C131,1,2))),"")),"")</f>
        <v/>
      </c>
    </row>
    <row r="132">
      <c r="A132" s="2" t="n"/>
      <c r="B132" s="2" t="n"/>
      <c r="C132" s="3" t="n"/>
      <c r="D132" s="2" t="n"/>
      <c r="E132" s="4" t="n"/>
      <c r="F132" s="2" t="n"/>
      <c r="G132" s="2" t="n"/>
      <c r="H132" s="2">
        <f>IF(C132="","",IF(LEN(C132)&lt;&gt;13,"Nema 13 cifara (ima "&amp;LEN(C132)&amp;")",IF(J132="","JMBG sadrži nešto što nije cifra",IF(L132="","Nepostojeći datum rođenja",IF(VALUE(MID(C132,13,1))&lt;&gt;J132,"Pogrešna kontrolna cifra — treba "&amp;J132,"✓ ispravan")))))</f>
        <v/>
      </c>
      <c r="I132">
        <f>IFERROR(IF(LEN(C132)&lt;&gt;13,"",7*(VALUE(MID(C132,1,1))+VALUE(MID(C132,7,1)))+6*(VALUE(MID(C132,2,1))+VALUE(MID(C132,8,1)))+5*(VALUE(MID(C132,3,1))+VALUE(MID(C132,9,1)))+4*(VALUE(MID(C132,4,1))+VALUE(MID(C132,10,1)))+3*(VALUE(MID(C132,5,1))+VALUE(MID(C132,11,1)))+2*(VALUE(MID(C132,6,1))+VALUE(MID(C132,12,1)))),"")</f>
        <v/>
      </c>
      <c r="J132">
        <f>IF(I132="","",IF(11-MOD(I132,11)&gt;9,0,11-MOD(I132,11)))</f>
        <v/>
      </c>
      <c r="K132">
        <f>IFERROR(IF(LEN(C132)&lt;&gt;13,"",IF(VALUE(MID(C132,5,3))&gt;=800,1000,2000)+VALUE(MID(C132,5,3))),"")</f>
        <v/>
      </c>
      <c r="L132">
        <f>IFERROR(IF(K132="","",IF(AND(DAY(DATE(K132,VALUE(MID(C132,3,2)),VALUE(MID(C132,1,2))))=VALUE(MID(C132,1,2)),MONTH(DATE(K132,VALUE(MID(C132,3,2)),VALUE(MID(C132,1,2))))=VALUE(MID(C132,3,2))),DATE(K132,VALUE(MID(C132,3,2)),VALUE(MID(C132,1,2))),"")),"")</f>
        <v/>
      </c>
    </row>
    <row r="133">
      <c r="A133" s="2" t="n"/>
      <c r="B133" s="2" t="n"/>
      <c r="C133" s="3" t="n"/>
      <c r="D133" s="2" t="n"/>
      <c r="E133" s="4" t="n"/>
      <c r="F133" s="2" t="n"/>
      <c r="G133" s="2" t="n"/>
      <c r="H133" s="2">
        <f>IF(C133="","",IF(LEN(C133)&lt;&gt;13,"Nema 13 cifara (ima "&amp;LEN(C133)&amp;")",IF(J133="","JMBG sadrži nešto što nije cifra",IF(L133="","Nepostojeći datum rođenja",IF(VALUE(MID(C133,13,1))&lt;&gt;J133,"Pogrešna kontrolna cifra — treba "&amp;J133,"✓ ispravan")))))</f>
        <v/>
      </c>
      <c r="I133">
        <f>IFERROR(IF(LEN(C133)&lt;&gt;13,"",7*(VALUE(MID(C133,1,1))+VALUE(MID(C133,7,1)))+6*(VALUE(MID(C133,2,1))+VALUE(MID(C133,8,1)))+5*(VALUE(MID(C133,3,1))+VALUE(MID(C133,9,1)))+4*(VALUE(MID(C133,4,1))+VALUE(MID(C133,10,1)))+3*(VALUE(MID(C133,5,1))+VALUE(MID(C133,11,1)))+2*(VALUE(MID(C133,6,1))+VALUE(MID(C133,12,1)))),"")</f>
        <v/>
      </c>
      <c r="J133">
        <f>IF(I133="","",IF(11-MOD(I133,11)&gt;9,0,11-MOD(I133,11)))</f>
        <v/>
      </c>
      <c r="K133">
        <f>IFERROR(IF(LEN(C133)&lt;&gt;13,"",IF(VALUE(MID(C133,5,3))&gt;=800,1000,2000)+VALUE(MID(C133,5,3))),"")</f>
        <v/>
      </c>
      <c r="L133">
        <f>IFERROR(IF(K133="","",IF(AND(DAY(DATE(K133,VALUE(MID(C133,3,2)),VALUE(MID(C133,1,2))))=VALUE(MID(C133,1,2)),MONTH(DATE(K133,VALUE(MID(C133,3,2)),VALUE(MID(C133,1,2))))=VALUE(MID(C133,3,2))),DATE(K133,VALUE(MID(C133,3,2)),VALUE(MID(C133,1,2))),"")),"")</f>
        <v/>
      </c>
    </row>
    <row r="134">
      <c r="A134" s="2" t="n"/>
      <c r="B134" s="2" t="n"/>
      <c r="C134" s="3" t="n"/>
      <c r="D134" s="2" t="n"/>
      <c r="E134" s="4" t="n"/>
      <c r="F134" s="2" t="n"/>
      <c r="G134" s="2" t="n"/>
      <c r="H134" s="2">
        <f>IF(C134="","",IF(LEN(C134)&lt;&gt;13,"Nema 13 cifara (ima "&amp;LEN(C134)&amp;")",IF(J134="","JMBG sadrži nešto što nije cifra",IF(L134="","Nepostojeći datum rođenja",IF(VALUE(MID(C134,13,1))&lt;&gt;J134,"Pogrešna kontrolna cifra — treba "&amp;J134,"✓ ispravan")))))</f>
        <v/>
      </c>
      <c r="I134">
        <f>IFERROR(IF(LEN(C134)&lt;&gt;13,"",7*(VALUE(MID(C134,1,1))+VALUE(MID(C134,7,1)))+6*(VALUE(MID(C134,2,1))+VALUE(MID(C134,8,1)))+5*(VALUE(MID(C134,3,1))+VALUE(MID(C134,9,1)))+4*(VALUE(MID(C134,4,1))+VALUE(MID(C134,10,1)))+3*(VALUE(MID(C134,5,1))+VALUE(MID(C134,11,1)))+2*(VALUE(MID(C134,6,1))+VALUE(MID(C134,12,1)))),"")</f>
        <v/>
      </c>
      <c r="J134">
        <f>IF(I134="","",IF(11-MOD(I134,11)&gt;9,0,11-MOD(I134,11)))</f>
        <v/>
      </c>
      <c r="K134">
        <f>IFERROR(IF(LEN(C134)&lt;&gt;13,"",IF(VALUE(MID(C134,5,3))&gt;=800,1000,2000)+VALUE(MID(C134,5,3))),"")</f>
        <v/>
      </c>
      <c r="L134">
        <f>IFERROR(IF(K134="","",IF(AND(DAY(DATE(K134,VALUE(MID(C134,3,2)),VALUE(MID(C134,1,2))))=VALUE(MID(C134,1,2)),MONTH(DATE(K134,VALUE(MID(C134,3,2)),VALUE(MID(C134,1,2))))=VALUE(MID(C134,3,2))),DATE(K134,VALUE(MID(C134,3,2)),VALUE(MID(C134,1,2))),"")),"")</f>
        <v/>
      </c>
    </row>
    <row r="135">
      <c r="A135" s="2" t="n"/>
      <c r="B135" s="2" t="n"/>
      <c r="C135" s="3" t="n"/>
      <c r="D135" s="2" t="n"/>
      <c r="E135" s="4" t="n"/>
      <c r="F135" s="2" t="n"/>
      <c r="G135" s="2" t="n"/>
      <c r="H135" s="2">
        <f>IF(C135="","",IF(LEN(C135)&lt;&gt;13,"Nema 13 cifara (ima "&amp;LEN(C135)&amp;")",IF(J135="","JMBG sadrži nešto što nije cifra",IF(L135="","Nepostojeći datum rođenja",IF(VALUE(MID(C135,13,1))&lt;&gt;J135,"Pogrešna kontrolna cifra — treba "&amp;J135,"✓ ispravan")))))</f>
        <v/>
      </c>
      <c r="I135">
        <f>IFERROR(IF(LEN(C135)&lt;&gt;13,"",7*(VALUE(MID(C135,1,1))+VALUE(MID(C135,7,1)))+6*(VALUE(MID(C135,2,1))+VALUE(MID(C135,8,1)))+5*(VALUE(MID(C135,3,1))+VALUE(MID(C135,9,1)))+4*(VALUE(MID(C135,4,1))+VALUE(MID(C135,10,1)))+3*(VALUE(MID(C135,5,1))+VALUE(MID(C135,11,1)))+2*(VALUE(MID(C135,6,1))+VALUE(MID(C135,12,1)))),"")</f>
        <v/>
      </c>
      <c r="J135">
        <f>IF(I135="","",IF(11-MOD(I135,11)&gt;9,0,11-MOD(I135,11)))</f>
        <v/>
      </c>
      <c r="K135">
        <f>IFERROR(IF(LEN(C135)&lt;&gt;13,"",IF(VALUE(MID(C135,5,3))&gt;=800,1000,2000)+VALUE(MID(C135,5,3))),"")</f>
        <v/>
      </c>
      <c r="L135">
        <f>IFERROR(IF(K135="","",IF(AND(DAY(DATE(K135,VALUE(MID(C135,3,2)),VALUE(MID(C135,1,2))))=VALUE(MID(C135,1,2)),MONTH(DATE(K135,VALUE(MID(C135,3,2)),VALUE(MID(C135,1,2))))=VALUE(MID(C135,3,2))),DATE(K135,VALUE(MID(C135,3,2)),VALUE(MID(C135,1,2))),"")),"")</f>
        <v/>
      </c>
    </row>
    <row r="136">
      <c r="A136" s="2" t="n"/>
      <c r="B136" s="2" t="n"/>
      <c r="C136" s="3" t="n"/>
      <c r="D136" s="2" t="n"/>
      <c r="E136" s="4" t="n"/>
      <c r="F136" s="2" t="n"/>
      <c r="G136" s="2" t="n"/>
      <c r="H136" s="2">
        <f>IF(C136="","",IF(LEN(C136)&lt;&gt;13,"Nema 13 cifara (ima "&amp;LEN(C136)&amp;")",IF(J136="","JMBG sadrži nešto što nije cifra",IF(L136="","Nepostojeći datum rođenja",IF(VALUE(MID(C136,13,1))&lt;&gt;J136,"Pogrešna kontrolna cifra — treba "&amp;J136,"✓ ispravan")))))</f>
        <v/>
      </c>
      <c r="I136">
        <f>IFERROR(IF(LEN(C136)&lt;&gt;13,"",7*(VALUE(MID(C136,1,1))+VALUE(MID(C136,7,1)))+6*(VALUE(MID(C136,2,1))+VALUE(MID(C136,8,1)))+5*(VALUE(MID(C136,3,1))+VALUE(MID(C136,9,1)))+4*(VALUE(MID(C136,4,1))+VALUE(MID(C136,10,1)))+3*(VALUE(MID(C136,5,1))+VALUE(MID(C136,11,1)))+2*(VALUE(MID(C136,6,1))+VALUE(MID(C136,12,1)))),"")</f>
        <v/>
      </c>
      <c r="J136">
        <f>IF(I136="","",IF(11-MOD(I136,11)&gt;9,0,11-MOD(I136,11)))</f>
        <v/>
      </c>
      <c r="K136">
        <f>IFERROR(IF(LEN(C136)&lt;&gt;13,"",IF(VALUE(MID(C136,5,3))&gt;=800,1000,2000)+VALUE(MID(C136,5,3))),"")</f>
        <v/>
      </c>
      <c r="L136">
        <f>IFERROR(IF(K136="","",IF(AND(DAY(DATE(K136,VALUE(MID(C136,3,2)),VALUE(MID(C136,1,2))))=VALUE(MID(C136,1,2)),MONTH(DATE(K136,VALUE(MID(C136,3,2)),VALUE(MID(C136,1,2))))=VALUE(MID(C136,3,2))),DATE(K136,VALUE(MID(C136,3,2)),VALUE(MID(C136,1,2))),"")),"")</f>
        <v/>
      </c>
    </row>
    <row r="137">
      <c r="A137" s="2" t="n"/>
      <c r="B137" s="2" t="n"/>
      <c r="C137" s="3" t="n"/>
      <c r="D137" s="2" t="n"/>
      <c r="E137" s="4" t="n"/>
      <c r="F137" s="2" t="n"/>
      <c r="G137" s="2" t="n"/>
      <c r="H137" s="2">
        <f>IF(C137="","",IF(LEN(C137)&lt;&gt;13,"Nema 13 cifara (ima "&amp;LEN(C137)&amp;")",IF(J137="","JMBG sadrži nešto što nije cifra",IF(L137="","Nepostojeći datum rođenja",IF(VALUE(MID(C137,13,1))&lt;&gt;J137,"Pogrešna kontrolna cifra — treba "&amp;J137,"✓ ispravan")))))</f>
        <v/>
      </c>
      <c r="I137">
        <f>IFERROR(IF(LEN(C137)&lt;&gt;13,"",7*(VALUE(MID(C137,1,1))+VALUE(MID(C137,7,1)))+6*(VALUE(MID(C137,2,1))+VALUE(MID(C137,8,1)))+5*(VALUE(MID(C137,3,1))+VALUE(MID(C137,9,1)))+4*(VALUE(MID(C137,4,1))+VALUE(MID(C137,10,1)))+3*(VALUE(MID(C137,5,1))+VALUE(MID(C137,11,1)))+2*(VALUE(MID(C137,6,1))+VALUE(MID(C137,12,1)))),"")</f>
        <v/>
      </c>
      <c r="J137">
        <f>IF(I137="","",IF(11-MOD(I137,11)&gt;9,0,11-MOD(I137,11)))</f>
        <v/>
      </c>
      <c r="K137">
        <f>IFERROR(IF(LEN(C137)&lt;&gt;13,"",IF(VALUE(MID(C137,5,3))&gt;=800,1000,2000)+VALUE(MID(C137,5,3))),"")</f>
        <v/>
      </c>
      <c r="L137">
        <f>IFERROR(IF(K137="","",IF(AND(DAY(DATE(K137,VALUE(MID(C137,3,2)),VALUE(MID(C137,1,2))))=VALUE(MID(C137,1,2)),MONTH(DATE(K137,VALUE(MID(C137,3,2)),VALUE(MID(C137,1,2))))=VALUE(MID(C137,3,2))),DATE(K137,VALUE(MID(C137,3,2)),VALUE(MID(C137,1,2))),"")),"")</f>
        <v/>
      </c>
    </row>
    <row r="138">
      <c r="A138" s="2" t="n"/>
      <c r="B138" s="2" t="n"/>
      <c r="C138" s="3" t="n"/>
      <c r="D138" s="2" t="n"/>
      <c r="E138" s="4" t="n"/>
      <c r="F138" s="2" t="n"/>
      <c r="G138" s="2" t="n"/>
      <c r="H138" s="2">
        <f>IF(C138="","",IF(LEN(C138)&lt;&gt;13,"Nema 13 cifara (ima "&amp;LEN(C138)&amp;")",IF(J138="","JMBG sadrži nešto što nije cifra",IF(L138="","Nepostojeći datum rođenja",IF(VALUE(MID(C138,13,1))&lt;&gt;J138,"Pogrešna kontrolna cifra — treba "&amp;J138,"✓ ispravan")))))</f>
        <v/>
      </c>
      <c r="I138">
        <f>IFERROR(IF(LEN(C138)&lt;&gt;13,"",7*(VALUE(MID(C138,1,1))+VALUE(MID(C138,7,1)))+6*(VALUE(MID(C138,2,1))+VALUE(MID(C138,8,1)))+5*(VALUE(MID(C138,3,1))+VALUE(MID(C138,9,1)))+4*(VALUE(MID(C138,4,1))+VALUE(MID(C138,10,1)))+3*(VALUE(MID(C138,5,1))+VALUE(MID(C138,11,1)))+2*(VALUE(MID(C138,6,1))+VALUE(MID(C138,12,1)))),"")</f>
        <v/>
      </c>
      <c r="J138">
        <f>IF(I138="","",IF(11-MOD(I138,11)&gt;9,0,11-MOD(I138,11)))</f>
        <v/>
      </c>
      <c r="K138">
        <f>IFERROR(IF(LEN(C138)&lt;&gt;13,"",IF(VALUE(MID(C138,5,3))&gt;=800,1000,2000)+VALUE(MID(C138,5,3))),"")</f>
        <v/>
      </c>
      <c r="L138">
        <f>IFERROR(IF(K138="","",IF(AND(DAY(DATE(K138,VALUE(MID(C138,3,2)),VALUE(MID(C138,1,2))))=VALUE(MID(C138,1,2)),MONTH(DATE(K138,VALUE(MID(C138,3,2)),VALUE(MID(C138,1,2))))=VALUE(MID(C138,3,2))),DATE(K138,VALUE(MID(C138,3,2)),VALUE(MID(C138,1,2))),"")),"")</f>
        <v/>
      </c>
    </row>
    <row r="139">
      <c r="A139" s="2" t="n"/>
      <c r="B139" s="2" t="n"/>
      <c r="C139" s="3" t="n"/>
      <c r="D139" s="2" t="n"/>
      <c r="E139" s="4" t="n"/>
      <c r="F139" s="2" t="n"/>
      <c r="G139" s="2" t="n"/>
      <c r="H139" s="2">
        <f>IF(C139="","",IF(LEN(C139)&lt;&gt;13,"Nema 13 cifara (ima "&amp;LEN(C139)&amp;")",IF(J139="","JMBG sadrži nešto što nije cifra",IF(L139="","Nepostojeći datum rođenja",IF(VALUE(MID(C139,13,1))&lt;&gt;J139,"Pogrešna kontrolna cifra — treba "&amp;J139,"✓ ispravan")))))</f>
        <v/>
      </c>
      <c r="I139">
        <f>IFERROR(IF(LEN(C139)&lt;&gt;13,"",7*(VALUE(MID(C139,1,1))+VALUE(MID(C139,7,1)))+6*(VALUE(MID(C139,2,1))+VALUE(MID(C139,8,1)))+5*(VALUE(MID(C139,3,1))+VALUE(MID(C139,9,1)))+4*(VALUE(MID(C139,4,1))+VALUE(MID(C139,10,1)))+3*(VALUE(MID(C139,5,1))+VALUE(MID(C139,11,1)))+2*(VALUE(MID(C139,6,1))+VALUE(MID(C139,12,1)))),"")</f>
        <v/>
      </c>
      <c r="J139">
        <f>IF(I139="","",IF(11-MOD(I139,11)&gt;9,0,11-MOD(I139,11)))</f>
        <v/>
      </c>
      <c r="K139">
        <f>IFERROR(IF(LEN(C139)&lt;&gt;13,"",IF(VALUE(MID(C139,5,3))&gt;=800,1000,2000)+VALUE(MID(C139,5,3))),"")</f>
        <v/>
      </c>
      <c r="L139">
        <f>IFERROR(IF(K139="","",IF(AND(DAY(DATE(K139,VALUE(MID(C139,3,2)),VALUE(MID(C139,1,2))))=VALUE(MID(C139,1,2)),MONTH(DATE(K139,VALUE(MID(C139,3,2)),VALUE(MID(C139,1,2))))=VALUE(MID(C139,3,2))),DATE(K139,VALUE(MID(C139,3,2)),VALUE(MID(C139,1,2))),"")),"")</f>
        <v/>
      </c>
    </row>
    <row r="140">
      <c r="A140" s="2" t="n"/>
      <c r="B140" s="2" t="n"/>
      <c r="C140" s="3" t="n"/>
      <c r="D140" s="2" t="n"/>
      <c r="E140" s="4" t="n"/>
      <c r="F140" s="2" t="n"/>
      <c r="G140" s="2" t="n"/>
      <c r="H140" s="2">
        <f>IF(C140="","",IF(LEN(C140)&lt;&gt;13,"Nema 13 cifara (ima "&amp;LEN(C140)&amp;")",IF(J140="","JMBG sadrži nešto što nije cifra",IF(L140="","Nepostojeći datum rođenja",IF(VALUE(MID(C140,13,1))&lt;&gt;J140,"Pogrešna kontrolna cifra — treba "&amp;J140,"✓ ispravan")))))</f>
        <v/>
      </c>
      <c r="I140">
        <f>IFERROR(IF(LEN(C140)&lt;&gt;13,"",7*(VALUE(MID(C140,1,1))+VALUE(MID(C140,7,1)))+6*(VALUE(MID(C140,2,1))+VALUE(MID(C140,8,1)))+5*(VALUE(MID(C140,3,1))+VALUE(MID(C140,9,1)))+4*(VALUE(MID(C140,4,1))+VALUE(MID(C140,10,1)))+3*(VALUE(MID(C140,5,1))+VALUE(MID(C140,11,1)))+2*(VALUE(MID(C140,6,1))+VALUE(MID(C140,12,1)))),"")</f>
        <v/>
      </c>
      <c r="J140">
        <f>IF(I140="","",IF(11-MOD(I140,11)&gt;9,0,11-MOD(I140,11)))</f>
        <v/>
      </c>
      <c r="K140">
        <f>IFERROR(IF(LEN(C140)&lt;&gt;13,"",IF(VALUE(MID(C140,5,3))&gt;=800,1000,2000)+VALUE(MID(C140,5,3))),"")</f>
        <v/>
      </c>
      <c r="L140">
        <f>IFERROR(IF(K140="","",IF(AND(DAY(DATE(K140,VALUE(MID(C140,3,2)),VALUE(MID(C140,1,2))))=VALUE(MID(C140,1,2)),MONTH(DATE(K140,VALUE(MID(C140,3,2)),VALUE(MID(C140,1,2))))=VALUE(MID(C140,3,2))),DATE(K140,VALUE(MID(C140,3,2)),VALUE(MID(C140,1,2))),"")),"")</f>
        <v/>
      </c>
    </row>
    <row r="141">
      <c r="A141" s="2" t="n"/>
      <c r="B141" s="2" t="n"/>
      <c r="C141" s="3" t="n"/>
      <c r="D141" s="2" t="n"/>
      <c r="E141" s="4" t="n"/>
      <c r="F141" s="2" t="n"/>
      <c r="G141" s="2" t="n"/>
      <c r="H141" s="2">
        <f>IF(C141="","",IF(LEN(C141)&lt;&gt;13,"Nema 13 cifara (ima "&amp;LEN(C141)&amp;")",IF(J141="","JMBG sadrži nešto što nije cifra",IF(L141="","Nepostojeći datum rođenja",IF(VALUE(MID(C141,13,1))&lt;&gt;J141,"Pogrešna kontrolna cifra — treba "&amp;J141,"✓ ispravan")))))</f>
        <v/>
      </c>
      <c r="I141">
        <f>IFERROR(IF(LEN(C141)&lt;&gt;13,"",7*(VALUE(MID(C141,1,1))+VALUE(MID(C141,7,1)))+6*(VALUE(MID(C141,2,1))+VALUE(MID(C141,8,1)))+5*(VALUE(MID(C141,3,1))+VALUE(MID(C141,9,1)))+4*(VALUE(MID(C141,4,1))+VALUE(MID(C141,10,1)))+3*(VALUE(MID(C141,5,1))+VALUE(MID(C141,11,1)))+2*(VALUE(MID(C141,6,1))+VALUE(MID(C141,12,1)))),"")</f>
        <v/>
      </c>
      <c r="J141">
        <f>IF(I141="","",IF(11-MOD(I141,11)&gt;9,0,11-MOD(I141,11)))</f>
        <v/>
      </c>
      <c r="K141">
        <f>IFERROR(IF(LEN(C141)&lt;&gt;13,"",IF(VALUE(MID(C141,5,3))&gt;=800,1000,2000)+VALUE(MID(C141,5,3))),"")</f>
        <v/>
      </c>
      <c r="L141">
        <f>IFERROR(IF(K141="","",IF(AND(DAY(DATE(K141,VALUE(MID(C141,3,2)),VALUE(MID(C141,1,2))))=VALUE(MID(C141,1,2)),MONTH(DATE(K141,VALUE(MID(C141,3,2)),VALUE(MID(C141,1,2))))=VALUE(MID(C141,3,2))),DATE(K141,VALUE(MID(C141,3,2)),VALUE(MID(C141,1,2))),"")),"")</f>
        <v/>
      </c>
    </row>
    <row r="142">
      <c r="A142" s="2" t="n"/>
      <c r="B142" s="2" t="n"/>
      <c r="C142" s="3" t="n"/>
      <c r="D142" s="2" t="n"/>
      <c r="E142" s="4" t="n"/>
      <c r="F142" s="2" t="n"/>
      <c r="G142" s="2" t="n"/>
      <c r="H142" s="2">
        <f>IF(C142="","",IF(LEN(C142)&lt;&gt;13,"Nema 13 cifara (ima "&amp;LEN(C142)&amp;")",IF(J142="","JMBG sadrži nešto što nije cifra",IF(L142="","Nepostojeći datum rođenja",IF(VALUE(MID(C142,13,1))&lt;&gt;J142,"Pogrešna kontrolna cifra — treba "&amp;J142,"✓ ispravan")))))</f>
        <v/>
      </c>
      <c r="I142">
        <f>IFERROR(IF(LEN(C142)&lt;&gt;13,"",7*(VALUE(MID(C142,1,1))+VALUE(MID(C142,7,1)))+6*(VALUE(MID(C142,2,1))+VALUE(MID(C142,8,1)))+5*(VALUE(MID(C142,3,1))+VALUE(MID(C142,9,1)))+4*(VALUE(MID(C142,4,1))+VALUE(MID(C142,10,1)))+3*(VALUE(MID(C142,5,1))+VALUE(MID(C142,11,1)))+2*(VALUE(MID(C142,6,1))+VALUE(MID(C142,12,1)))),"")</f>
        <v/>
      </c>
      <c r="J142">
        <f>IF(I142="","",IF(11-MOD(I142,11)&gt;9,0,11-MOD(I142,11)))</f>
        <v/>
      </c>
      <c r="K142">
        <f>IFERROR(IF(LEN(C142)&lt;&gt;13,"",IF(VALUE(MID(C142,5,3))&gt;=800,1000,2000)+VALUE(MID(C142,5,3))),"")</f>
        <v/>
      </c>
      <c r="L142">
        <f>IFERROR(IF(K142="","",IF(AND(DAY(DATE(K142,VALUE(MID(C142,3,2)),VALUE(MID(C142,1,2))))=VALUE(MID(C142,1,2)),MONTH(DATE(K142,VALUE(MID(C142,3,2)),VALUE(MID(C142,1,2))))=VALUE(MID(C142,3,2))),DATE(K142,VALUE(MID(C142,3,2)),VALUE(MID(C142,1,2))),"")),"")</f>
        <v/>
      </c>
    </row>
    <row r="143">
      <c r="A143" s="2" t="n"/>
      <c r="B143" s="2" t="n"/>
      <c r="C143" s="3" t="n"/>
      <c r="D143" s="2" t="n"/>
      <c r="E143" s="4" t="n"/>
      <c r="F143" s="2" t="n"/>
      <c r="G143" s="2" t="n"/>
      <c r="H143" s="2">
        <f>IF(C143="","",IF(LEN(C143)&lt;&gt;13,"Nema 13 cifara (ima "&amp;LEN(C143)&amp;")",IF(J143="","JMBG sadrži nešto što nije cifra",IF(L143="","Nepostojeći datum rođenja",IF(VALUE(MID(C143,13,1))&lt;&gt;J143,"Pogrešna kontrolna cifra — treba "&amp;J143,"✓ ispravan")))))</f>
        <v/>
      </c>
      <c r="I143">
        <f>IFERROR(IF(LEN(C143)&lt;&gt;13,"",7*(VALUE(MID(C143,1,1))+VALUE(MID(C143,7,1)))+6*(VALUE(MID(C143,2,1))+VALUE(MID(C143,8,1)))+5*(VALUE(MID(C143,3,1))+VALUE(MID(C143,9,1)))+4*(VALUE(MID(C143,4,1))+VALUE(MID(C143,10,1)))+3*(VALUE(MID(C143,5,1))+VALUE(MID(C143,11,1)))+2*(VALUE(MID(C143,6,1))+VALUE(MID(C143,12,1)))),"")</f>
        <v/>
      </c>
      <c r="J143">
        <f>IF(I143="","",IF(11-MOD(I143,11)&gt;9,0,11-MOD(I143,11)))</f>
        <v/>
      </c>
      <c r="K143">
        <f>IFERROR(IF(LEN(C143)&lt;&gt;13,"",IF(VALUE(MID(C143,5,3))&gt;=800,1000,2000)+VALUE(MID(C143,5,3))),"")</f>
        <v/>
      </c>
      <c r="L143">
        <f>IFERROR(IF(K143="","",IF(AND(DAY(DATE(K143,VALUE(MID(C143,3,2)),VALUE(MID(C143,1,2))))=VALUE(MID(C143,1,2)),MONTH(DATE(K143,VALUE(MID(C143,3,2)),VALUE(MID(C143,1,2))))=VALUE(MID(C143,3,2))),DATE(K143,VALUE(MID(C143,3,2)),VALUE(MID(C143,1,2))),"")),"")</f>
        <v/>
      </c>
    </row>
    <row r="144">
      <c r="A144" s="2" t="n"/>
      <c r="B144" s="2" t="n"/>
      <c r="C144" s="3" t="n"/>
      <c r="D144" s="2" t="n"/>
      <c r="E144" s="4" t="n"/>
      <c r="F144" s="2" t="n"/>
      <c r="G144" s="2" t="n"/>
      <c r="H144" s="2">
        <f>IF(C144="","",IF(LEN(C144)&lt;&gt;13,"Nema 13 cifara (ima "&amp;LEN(C144)&amp;")",IF(J144="","JMBG sadrži nešto što nije cifra",IF(L144="","Nepostojeći datum rođenja",IF(VALUE(MID(C144,13,1))&lt;&gt;J144,"Pogrešna kontrolna cifra — treba "&amp;J144,"✓ ispravan")))))</f>
        <v/>
      </c>
      <c r="I144">
        <f>IFERROR(IF(LEN(C144)&lt;&gt;13,"",7*(VALUE(MID(C144,1,1))+VALUE(MID(C144,7,1)))+6*(VALUE(MID(C144,2,1))+VALUE(MID(C144,8,1)))+5*(VALUE(MID(C144,3,1))+VALUE(MID(C144,9,1)))+4*(VALUE(MID(C144,4,1))+VALUE(MID(C144,10,1)))+3*(VALUE(MID(C144,5,1))+VALUE(MID(C144,11,1)))+2*(VALUE(MID(C144,6,1))+VALUE(MID(C144,12,1)))),"")</f>
        <v/>
      </c>
      <c r="J144">
        <f>IF(I144="","",IF(11-MOD(I144,11)&gt;9,0,11-MOD(I144,11)))</f>
        <v/>
      </c>
      <c r="K144">
        <f>IFERROR(IF(LEN(C144)&lt;&gt;13,"",IF(VALUE(MID(C144,5,3))&gt;=800,1000,2000)+VALUE(MID(C144,5,3))),"")</f>
        <v/>
      </c>
      <c r="L144">
        <f>IFERROR(IF(K144="","",IF(AND(DAY(DATE(K144,VALUE(MID(C144,3,2)),VALUE(MID(C144,1,2))))=VALUE(MID(C144,1,2)),MONTH(DATE(K144,VALUE(MID(C144,3,2)),VALUE(MID(C144,1,2))))=VALUE(MID(C144,3,2))),DATE(K144,VALUE(MID(C144,3,2)),VALUE(MID(C144,1,2))),"")),"")</f>
        <v/>
      </c>
    </row>
    <row r="145">
      <c r="A145" s="2" t="n"/>
      <c r="B145" s="2" t="n"/>
      <c r="C145" s="3" t="n"/>
      <c r="D145" s="2" t="n"/>
      <c r="E145" s="4" t="n"/>
      <c r="F145" s="2" t="n"/>
      <c r="G145" s="2" t="n"/>
      <c r="H145" s="2">
        <f>IF(C145="","",IF(LEN(C145)&lt;&gt;13,"Nema 13 cifara (ima "&amp;LEN(C145)&amp;")",IF(J145="","JMBG sadrži nešto što nije cifra",IF(L145="","Nepostojeći datum rođenja",IF(VALUE(MID(C145,13,1))&lt;&gt;J145,"Pogrešna kontrolna cifra — treba "&amp;J145,"✓ ispravan")))))</f>
        <v/>
      </c>
      <c r="I145">
        <f>IFERROR(IF(LEN(C145)&lt;&gt;13,"",7*(VALUE(MID(C145,1,1))+VALUE(MID(C145,7,1)))+6*(VALUE(MID(C145,2,1))+VALUE(MID(C145,8,1)))+5*(VALUE(MID(C145,3,1))+VALUE(MID(C145,9,1)))+4*(VALUE(MID(C145,4,1))+VALUE(MID(C145,10,1)))+3*(VALUE(MID(C145,5,1))+VALUE(MID(C145,11,1)))+2*(VALUE(MID(C145,6,1))+VALUE(MID(C145,12,1)))),"")</f>
        <v/>
      </c>
      <c r="J145">
        <f>IF(I145="","",IF(11-MOD(I145,11)&gt;9,0,11-MOD(I145,11)))</f>
        <v/>
      </c>
      <c r="K145">
        <f>IFERROR(IF(LEN(C145)&lt;&gt;13,"",IF(VALUE(MID(C145,5,3))&gt;=800,1000,2000)+VALUE(MID(C145,5,3))),"")</f>
        <v/>
      </c>
      <c r="L145">
        <f>IFERROR(IF(K145="","",IF(AND(DAY(DATE(K145,VALUE(MID(C145,3,2)),VALUE(MID(C145,1,2))))=VALUE(MID(C145,1,2)),MONTH(DATE(K145,VALUE(MID(C145,3,2)),VALUE(MID(C145,1,2))))=VALUE(MID(C145,3,2))),DATE(K145,VALUE(MID(C145,3,2)),VALUE(MID(C145,1,2))),"")),"")</f>
        <v/>
      </c>
    </row>
    <row r="146">
      <c r="A146" s="2" t="n"/>
      <c r="B146" s="2" t="n"/>
      <c r="C146" s="3" t="n"/>
      <c r="D146" s="2" t="n"/>
      <c r="E146" s="4" t="n"/>
      <c r="F146" s="2" t="n"/>
      <c r="G146" s="2" t="n"/>
      <c r="H146" s="2">
        <f>IF(C146="","",IF(LEN(C146)&lt;&gt;13,"Nema 13 cifara (ima "&amp;LEN(C146)&amp;")",IF(J146="","JMBG sadrži nešto što nije cifra",IF(L146="","Nepostojeći datum rođenja",IF(VALUE(MID(C146,13,1))&lt;&gt;J146,"Pogrešna kontrolna cifra — treba "&amp;J146,"✓ ispravan")))))</f>
        <v/>
      </c>
      <c r="I146">
        <f>IFERROR(IF(LEN(C146)&lt;&gt;13,"",7*(VALUE(MID(C146,1,1))+VALUE(MID(C146,7,1)))+6*(VALUE(MID(C146,2,1))+VALUE(MID(C146,8,1)))+5*(VALUE(MID(C146,3,1))+VALUE(MID(C146,9,1)))+4*(VALUE(MID(C146,4,1))+VALUE(MID(C146,10,1)))+3*(VALUE(MID(C146,5,1))+VALUE(MID(C146,11,1)))+2*(VALUE(MID(C146,6,1))+VALUE(MID(C146,12,1)))),"")</f>
        <v/>
      </c>
      <c r="J146">
        <f>IF(I146="","",IF(11-MOD(I146,11)&gt;9,0,11-MOD(I146,11)))</f>
        <v/>
      </c>
      <c r="K146">
        <f>IFERROR(IF(LEN(C146)&lt;&gt;13,"",IF(VALUE(MID(C146,5,3))&gt;=800,1000,2000)+VALUE(MID(C146,5,3))),"")</f>
        <v/>
      </c>
      <c r="L146">
        <f>IFERROR(IF(K146="","",IF(AND(DAY(DATE(K146,VALUE(MID(C146,3,2)),VALUE(MID(C146,1,2))))=VALUE(MID(C146,1,2)),MONTH(DATE(K146,VALUE(MID(C146,3,2)),VALUE(MID(C146,1,2))))=VALUE(MID(C146,3,2))),DATE(K146,VALUE(MID(C146,3,2)),VALUE(MID(C146,1,2))),"")),"")</f>
        <v/>
      </c>
    </row>
    <row r="147">
      <c r="A147" s="2" t="n"/>
      <c r="B147" s="2" t="n"/>
      <c r="C147" s="3" t="n"/>
      <c r="D147" s="2" t="n"/>
      <c r="E147" s="4" t="n"/>
      <c r="F147" s="2" t="n"/>
      <c r="G147" s="2" t="n"/>
      <c r="H147" s="2">
        <f>IF(C147="","",IF(LEN(C147)&lt;&gt;13,"Nema 13 cifara (ima "&amp;LEN(C147)&amp;")",IF(J147="","JMBG sadrži nešto što nije cifra",IF(L147="","Nepostojeći datum rođenja",IF(VALUE(MID(C147,13,1))&lt;&gt;J147,"Pogrešna kontrolna cifra — treba "&amp;J147,"✓ ispravan")))))</f>
        <v/>
      </c>
      <c r="I147">
        <f>IFERROR(IF(LEN(C147)&lt;&gt;13,"",7*(VALUE(MID(C147,1,1))+VALUE(MID(C147,7,1)))+6*(VALUE(MID(C147,2,1))+VALUE(MID(C147,8,1)))+5*(VALUE(MID(C147,3,1))+VALUE(MID(C147,9,1)))+4*(VALUE(MID(C147,4,1))+VALUE(MID(C147,10,1)))+3*(VALUE(MID(C147,5,1))+VALUE(MID(C147,11,1)))+2*(VALUE(MID(C147,6,1))+VALUE(MID(C147,12,1)))),"")</f>
        <v/>
      </c>
      <c r="J147">
        <f>IF(I147="","",IF(11-MOD(I147,11)&gt;9,0,11-MOD(I147,11)))</f>
        <v/>
      </c>
      <c r="K147">
        <f>IFERROR(IF(LEN(C147)&lt;&gt;13,"",IF(VALUE(MID(C147,5,3))&gt;=800,1000,2000)+VALUE(MID(C147,5,3))),"")</f>
        <v/>
      </c>
      <c r="L147">
        <f>IFERROR(IF(K147="","",IF(AND(DAY(DATE(K147,VALUE(MID(C147,3,2)),VALUE(MID(C147,1,2))))=VALUE(MID(C147,1,2)),MONTH(DATE(K147,VALUE(MID(C147,3,2)),VALUE(MID(C147,1,2))))=VALUE(MID(C147,3,2))),DATE(K147,VALUE(MID(C147,3,2)),VALUE(MID(C147,1,2))),"")),"")</f>
        <v/>
      </c>
    </row>
    <row r="148">
      <c r="A148" s="2" t="n"/>
      <c r="B148" s="2" t="n"/>
      <c r="C148" s="3" t="n"/>
      <c r="D148" s="2" t="n"/>
      <c r="E148" s="4" t="n"/>
      <c r="F148" s="2" t="n"/>
      <c r="G148" s="2" t="n"/>
      <c r="H148" s="2">
        <f>IF(C148="","",IF(LEN(C148)&lt;&gt;13,"Nema 13 cifara (ima "&amp;LEN(C148)&amp;")",IF(J148="","JMBG sadrži nešto što nije cifra",IF(L148="","Nepostojeći datum rođenja",IF(VALUE(MID(C148,13,1))&lt;&gt;J148,"Pogrešna kontrolna cifra — treba "&amp;J148,"✓ ispravan")))))</f>
        <v/>
      </c>
      <c r="I148">
        <f>IFERROR(IF(LEN(C148)&lt;&gt;13,"",7*(VALUE(MID(C148,1,1))+VALUE(MID(C148,7,1)))+6*(VALUE(MID(C148,2,1))+VALUE(MID(C148,8,1)))+5*(VALUE(MID(C148,3,1))+VALUE(MID(C148,9,1)))+4*(VALUE(MID(C148,4,1))+VALUE(MID(C148,10,1)))+3*(VALUE(MID(C148,5,1))+VALUE(MID(C148,11,1)))+2*(VALUE(MID(C148,6,1))+VALUE(MID(C148,12,1)))),"")</f>
        <v/>
      </c>
      <c r="J148">
        <f>IF(I148="","",IF(11-MOD(I148,11)&gt;9,0,11-MOD(I148,11)))</f>
        <v/>
      </c>
      <c r="K148">
        <f>IFERROR(IF(LEN(C148)&lt;&gt;13,"",IF(VALUE(MID(C148,5,3))&gt;=800,1000,2000)+VALUE(MID(C148,5,3))),"")</f>
        <v/>
      </c>
      <c r="L148">
        <f>IFERROR(IF(K148="","",IF(AND(DAY(DATE(K148,VALUE(MID(C148,3,2)),VALUE(MID(C148,1,2))))=VALUE(MID(C148,1,2)),MONTH(DATE(K148,VALUE(MID(C148,3,2)),VALUE(MID(C148,1,2))))=VALUE(MID(C148,3,2))),DATE(K148,VALUE(MID(C148,3,2)),VALUE(MID(C148,1,2))),"")),"")</f>
        <v/>
      </c>
    </row>
    <row r="149">
      <c r="A149" s="2" t="n"/>
      <c r="B149" s="2" t="n"/>
      <c r="C149" s="3" t="n"/>
      <c r="D149" s="2" t="n"/>
      <c r="E149" s="4" t="n"/>
      <c r="F149" s="2" t="n"/>
      <c r="G149" s="2" t="n"/>
      <c r="H149" s="2">
        <f>IF(C149="","",IF(LEN(C149)&lt;&gt;13,"Nema 13 cifara (ima "&amp;LEN(C149)&amp;")",IF(J149="","JMBG sadrži nešto što nije cifra",IF(L149="","Nepostojeći datum rođenja",IF(VALUE(MID(C149,13,1))&lt;&gt;J149,"Pogrešna kontrolna cifra — treba "&amp;J149,"✓ ispravan")))))</f>
        <v/>
      </c>
      <c r="I149">
        <f>IFERROR(IF(LEN(C149)&lt;&gt;13,"",7*(VALUE(MID(C149,1,1))+VALUE(MID(C149,7,1)))+6*(VALUE(MID(C149,2,1))+VALUE(MID(C149,8,1)))+5*(VALUE(MID(C149,3,1))+VALUE(MID(C149,9,1)))+4*(VALUE(MID(C149,4,1))+VALUE(MID(C149,10,1)))+3*(VALUE(MID(C149,5,1))+VALUE(MID(C149,11,1)))+2*(VALUE(MID(C149,6,1))+VALUE(MID(C149,12,1)))),"")</f>
        <v/>
      </c>
      <c r="J149">
        <f>IF(I149="","",IF(11-MOD(I149,11)&gt;9,0,11-MOD(I149,11)))</f>
        <v/>
      </c>
      <c r="K149">
        <f>IFERROR(IF(LEN(C149)&lt;&gt;13,"",IF(VALUE(MID(C149,5,3))&gt;=800,1000,2000)+VALUE(MID(C149,5,3))),"")</f>
        <v/>
      </c>
      <c r="L149">
        <f>IFERROR(IF(K149="","",IF(AND(DAY(DATE(K149,VALUE(MID(C149,3,2)),VALUE(MID(C149,1,2))))=VALUE(MID(C149,1,2)),MONTH(DATE(K149,VALUE(MID(C149,3,2)),VALUE(MID(C149,1,2))))=VALUE(MID(C149,3,2))),DATE(K149,VALUE(MID(C149,3,2)),VALUE(MID(C149,1,2))),"")),"")</f>
        <v/>
      </c>
    </row>
    <row r="150">
      <c r="A150" s="2" t="n"/>
      <c r="B150" s="2" t="n"/>
      <c r="C150" s="3" t="n"/>
      <c r="D150" s="2" t="n"/>
      <c r="E150" s="4" t="n"/>
      <c r="F150" s="2" t="n"/>
      <c r="G150" s="2" t="n"/>
      <c r="H150" s="2">
        <f>IF(C150="","",IF(LEN(C150)&lt;&gt;13,"Nema 13 cifara (ima "&amp;LEN(C150)&amp;")",IF(J150="","JMBG sadrži nešto što nije cifra",IF(L150="","Nepostojeći datum rođenja",IF(VALUE(MID(C150,13,1))&lt;&gt;J150,"Pogrešna kontrolna cifra — treba "&amp;J150,"✓ ispravan")))))</f>
        <v/>
      </c>
      <c r="I150">
        <f>IFERROR(IF(LEN(C150)&lt;&gt;13,"",7*(VALUE(MID(C150,1,1))+VALUE(MID(C150,7,1)))+6*(VALUE(MID(C150,2,1))+VALUE(MID(C150,8,1)))+5*(VALUE(MID(C150,3,1))+VALUE(MID(C150,9,1)))+4*(VALUE(MID(C150,4,1))+VALUE(MID(C150,10,1)))+3*(VALUE(MID(C150,5,1))+VALUE(MID(C150,11,1)))+2*(VALUE(MID(C150,6,1))+VALUE(MID(C150,12,1)))),"")</f>
        <v/>
      </c>
      <c r="J150">
        <f>IF(I150="","",IF(11-MOD(I150,11)&gt;9,0,11-MOD(I150,11)))</f>
        <v/>
      </c>
      <c r="K150">
        <f>IFERROR(IF(LEN(C150)&lt;&gt;13,"",IF(VALUE(MID(C150,5,3))&gt;=800,1000,2000)+VALUE(MID(C150,5,3))),"")</f>
        <v/>
      </c>
      <c r="L150">
        <f>IFERROR(IF(K150="","",IF(AND(DAY(DATE(K150,VALUE(MID(C150,3,2)),VALUE(MID(C150,1,2))))=VALUE(MID(C150,1,2)),MONTH(DATE(K150,VALUE(MID(C150,3,2)),VALUE(MID(C150,1,2))))=VALUE(MID(C150,3,2))),DATE(K150,VALUE(MID(C150,3,2)),VALUE(MID(C150,1,2))),"")),"")</f>
        <v/>
      </c>
    </row>
    <row r="151">
      <c r="A151" s="2" t="n"/>
      <c r="B151" s="2" t="n"/>
      <c r="C151" s="3" t="n"/>
      <c r="D151" s="2" t="n"/>
      <c r="E151" s="4" t="n"/>
      <c r="F151" s="2" t="n"/>
      <c r="G151" s="2" t="n"/>
      <c r="H151" s="2">
        <f>IF(C151="","",IF(LEN(C151)&lt;&gt;13,"Nema 13 cifara (ima "&amp;LEN(C151)&amp;")",IF(J151="","JMBG sadrži nešto što nije cifra",IF(L151="","Nepostojeći datum rođenja",IF(VALUE(MID(C151,13,1))&lt;&gt;J151,"Pogrešna kontrolna cifra — treba "&amp;J151,"✓ ispravan")))))</f>
        <v/>
      </c>
      <c r="I151">
        <f>IFERROR(IF(LEN(C151)&lt;&gt;13,"",7*(VALUE(MID(C151,1,1))+VALUE(MID(C151,7,1)))+6*(VALUE(MID(C151,2,1))+VALUE(MID(C151,8,1)))+5*(VALUE(MID(C151,3,1))+VALUE(MID(C151,9,1)))+4*(VALUE(MID(C151,4,1))+VALUE(MID(C151,10,1)))+3*(VALUE(MID(C151,5,1))+VALUE(MID(C151,11,1)))+2*(VALUE(MID(C151,6,1))+VALUE(MID(C151,12,1)))),"")</f>
        <v/>
      </c>
      <c r="J151">
        <f>IF(I151="","",IF(11-MOD(I151,11)&gt;9,0,11-MOD(I151,11)))</f>
        <v/>
      </c>
      <c r="K151">
        <f>IFERROR(IF(LEN(C151)&lt;&gt;13,"",IF(VALUE(MID(C151,5,3))&gt;=800,1000,2000)+VALUE(MID(C151,5,3))),"")</f>
        <v/>
      </c>
      <c r="L151">
        <f>IFERROR(IF(K151="","",IF(AND(DAY(DATE(K151,VALUE(MID(C151,3,2)),VALUE(MID(C151,1,2))))=VALUE(MID(C151,1,2)),MONTH(DATE(K151,VALUE(MID(C151,3,2)),VALUE(MID(C151,1,2))))=VALUE(MID(C151,3,2))),DATE(K151,VALUE(MID(C151,3,2)),VALUE(MID(C151,1,2))),"")),"")</f>
        <v/>
      </c>
    </row>
    <row r="152">
      <c r="A152" s="2" t="n"/>
      <c r="B152" s="2" t="n"/>
      <c r="C152" s="3" t="n"/>
      <c r="D152" s="2" t="n"/>
      <c r="E152" s="4" t="n"/>
      <c r="F152" s="2" t="n"/>
      <c r="G152" s="2" t="n"/>
      <c r="H152" s="2">
        <f>IF(C152="","",IF(LEN(C152)&lt;&gt;13,"Nema 13 cifara (ima "&amp;LEN(C152)&amp;")",IF(J152="","JMBG sadrži nešto što nije cifra",IF(L152="","Nepostojeći datum rođenja",IF(VALUE(MID(C152,13,1))&lt;&gt;J152,"Pogrešna kontrolna cifra — treba "&amp;J152,"✓ ispravan")))))</f>
        <v/>
      </c>
      <c r="I152">
        <f>IFERROR(IF(LEN(C152)&lt;&gt;13,"",7*(VALUE(MID(C152,1,1))+VALUE(MID(C152,7,1)))+6*(VALUE(MID(C152,2,1))+VALUE(MID(C152,8,1)))+5*(VALUE(MID(C152,3,1))+VALUE(MID(C152,9,1)))+4*(VALUE(MID(C152,4,1))+VALUE(MID(C152,10,1)))+3*(VALUE(MID(C152,5,1))+VALUE(MID(C152,11,1)))+2*(VALUE(MID(C152,6,1))+VALUE(MID(C152,12,1)))),"")</f>
        <v/>
      </c>
      <c r="J152">
        <f>IF(I152="","",IF(11-MOD(I152,11)&gt;9,0,11-MOD(I152,11)))</f>
        <v/>
      </c>
      <c r="K152">
        <f>IFERROR(IF(LEN(C152)&lt;&gt;13,"",IF(VALUE(MID(C152,5,3))&gt;=800,1000,2000)+VALUE(MID(C152,5,3))),"")</f>
        <v/>
      </c>
      <c r="L152">
        <f>IFERROR(IF(K152="","",IF(AND(DAY(DATE(K152,VALUE(MID(C152,3,2)),VALUE(MID(C152,1,2))))=VALUE(MID(C152,1,2)),MONTH(DATE(K152,VALUE(MID(C152,3,2)),VALUE(MID(C152,1,2))))=VALUE(MID(C152,3,2))),DATE(K152,VALUE(MID(C152,3,2)),VALUE(MID(C152,1,2))),"")),"")</f>
        <v/>
      </c>
    </row>
    <row r="153">
      <c r="A153" s="2" t="n"/>
      <c r="B153" s="2" t="n"/>
      <c r="C153" s="3" t="n"/>
      <c r="D153" s="2" t="n"/>
      <c r="E153" s="4" t="n"/>
      <c r="F153" s="2" t="n"/>
      <c r="G153" s="2" t="n"/>
      <c r="H153" s="2">
        <f>IF(C153="","",IF(LEN(C153)&lt;&gt;13,"Nema 13 cifara (ima "&amp;LEN(C153)&amp;")",IF(J153="","JMBG sadrži nešto što nije cifra",IF(L153="","Nepostojeći datum rođenja",IF(VALUE(MID(C153,13,1))&lt;&gt;J153,"Pogrešna kontrolna cifra — treba "&amp;J153,"✓ ispravan")))))</f>
        <v/>
      </c>
      <c r="I153">
        <f>IFERROR(IF(LEN(C153)&lt;&gt;13,"",7*(VALUE(MID(C153,1,1))+VALUE(MID(C153,7,1)))+6*(VALUE(MID(C153,2,1))+VALUE(MID(C153,8,1)))+5*(VALUE(MID(C153,3,1))+VALUE(MID(C153,9,1)))+4*(VALUE(MID(C153,4,1))+VALUE(MID(C153,10,1)))+3*(VALUE(MID(C153,5,1))+VALUE(MID(C153,11,1)))+2*(VALUE(MID(C153,6,1))+VALUE(MID(C153,12,1)))),"")</f>
        <v/>
      </c>
      <c r="J153">
        <f>IF(I153="","",IF(11-MOD(I153,11)&gt;9,0,11-MOD(I153,11)))</f>
        <v/>
      </c>
      <c r="K153">
        <f>IFERROR(IF(LEN(C153)&lt;&gt;13,"",IF(VALUE(MID(C153,5,3))&gt;=800,1000,2000)+VALUE(MID(C153,5,3))),"")</f>
        <v/>
      </c>
      <c r="L153">
        <f>IFERROR(IF(K153="","",IF(AND(DAY(DATE(K153,VALUE(MID(C153,3,2)),VALUE(MID(C153,1,2))))=VALUE(MID(C153,1,2)),MONTH(DATE(K153,VALUE(MID(C153,3,2)),VALUE(MID(C153,1,2))))=VALUE(MID(C153,3,2))),DATE(K153,VALUE(MID(C153,3,2)),VALUE(MID(C153,1,2))),"")),"")</f>
        <v/>
      </c>
    </row>
    <row r="154">
      <c r="A154" s="2" t="n"/>
      <c r="B154" s="2" t="n"/>
      <c r="C154" s="3" t="n"/>
      <c r="D154" s="2" t="n"/>
      <c r="E154" s="4" t="n"/>
      <c r="F154" s="2" t="n"/>
      <c r="G154" s="2" t="n"/>
      <c r="H154" s="2">
        <f>IF(C154="","",IF(LEN(C154)&lt;&gt;13,"Nema 13 cifara (ima "&amp;LEN(C154)&amp;")",IF(J154="","JMBG sadrži nešto što nije cifra",IF(L154="","Nepostojeći datum rođenja",IF(VALUE(MID(C154,13,1))&lt;&gt;J154,"Pogrešna kontrolna cifra — treba "&amp;J154,"✓ ispravan")))))</f>
        <v/>
      </c>
      <c r="I154">
        <f>IFERROR(IF(LEN(C154)&lt;&gt;13,"",7*(VALUE(MID(C154,1,1))+VALUE(MID(C154,7,1)))+6*(VALUE(MID(C154,2,1))+VALUE(MID(C154,8,1)))+5*(VALUE(MID(C154,3,1))+VALUE(MID(C154,9,1)))+4*(VALUE(MID(C154,4,1))+VALUE(MID(C154,10,1)))+3*(VALUE(MID(C154,5,1))+VALUE(MID(C154,11,1)))+2*(VALUE(MID(C154,6,1))+VALUE(MID(C154,12,1)))),"")</f>
        <v/>
      </c>
      <c r="J154">
        <f>IF(I154="","",IF(11-MOD(I154,11)&gt;9,0,11-MOD(I154,11)))</f>
        <v/>
      </c>
      <c r="K154">
        <f>IFERROR(IF(LEN(C154)&lt;&gt;13,"",IF(VALUE(MID(C154,5,3))&gt;=800,1000,2000)+VALUE(MID(C154,5,3))),"")</f>
        <v/>
      </c>
      <c r="L154">
        <f>IFERROR(IF(K154="","",IF(AND(DAY(DATE(K154,VALUE(MID(C154,3,2)),VALUE(MID(C154,1,2))))=VALUE(MID(C154,1,2)),MONTH(DATE(K154,VALUE(MID(C154,3,2)),VALUE(MID(C154,1,2))))=VALUE(MID(C154,3,2))),DATE(K154,VALUE(MID(C154,3,2)),VALUE(MID(C154,1,2))),"")),"")</f>
        <v/>
      </c>
    </row>
    <row r="155">
      <c r="A155" s="2" t="n"/>
      <c r="B155" s="2" t="n"/>
      <c r="C155" s="3" t="n"/>
      <c r="D155" s="2" t="n"/>
      <c r="E155" s="4" t="n"/>
      <c r="F155" s="2" t="n"/>
      <c r="G155" s="2" t="n"/>
      <c r="H155" s="2">
        <f>IF(C155="","",IF(LEN(C155)&lt;&gt;13,"Nema 13 cifara (ima "&amp;LEN(C155)&amp;")",IF(J155="","JMBG sadrži nešto što nije cifra",IF(L155="","Nepostojeći datum rođenja",IF(VALUE(MID(C155,13,1))&lt;&gt;J155,"Pogrešna kontrolna cifra — treba "&amp;J155,"✓ ispravan")))))</f>
        <v/>
      </c>
      <c r="I155">
        <f>IFERROR(IF(LEN(C155)&lt;&gt;13,"",7*(VALUE(MID(C155,1,1))+VALUE(MID(C155,7,1)))+6*(VALUE(MID(C155,2,1))+VALUE(MID(C155,8,1)))+5*(VALUE(MID(C155,3,1))+VALUE(MID(C155,9,1)))+4*(VALUE(MID(C155,4,1))+VALUE(MID(C155,10,1)))+3*(VALUE(MID(C155,5,1))+VALUE(MID(C155,11,1)))+2*(VALUE(MID(C155,6,1))+VALUE(MID(C155,12,1)))),"")</f>
        <v/>
      </c>
      <c r="J155">
        <f>IF(I155="","",IF(11-MOD(I155,11)&gt;9,0,11-MOD(I155,11)))</f>
        <v/>
      </c>
      <c r="K155">
        <f>IFERROR(IF(LEN(C155)&lt;&gt;13,"",IF(VALUE(MID(C155,5,3))&gt;=800,1000,2000)+VALUE(MID(C155,5,3))),"")</f>
        <v/>
      </c>
      <c r="L155">
        <f>IFERROR(IF(K155="","",IF(AND(DAY(DATE(K155,VALUE(MID(C155,3,2)),VALUE(MID(C155,1,2))))=VALUE(MID(C155,1,2)),MONTH(DATE(K155,VALUE(MID(C155,3,2)),VALUE(MID(C155,1,2))))=VALUE(MID(C155,3,2))),DATE(K155,VALUE(MID(C155,3,2)),VALUE(MID(C155,1,2))),"")),"")</f>
        <v/>
      </c>
    </row>
    <row r="156">
      <c r="A156" s="2" t="n"/>
      <c r="B156" s="2" t="n"/>
      <c r="C156" s="3" t="n"/>
      <c r="D156" s="2" t="n"/>
      <c r="E156" s="4" t="n"/>
      <c r="F156" s="2" t="n"/>
      <c r="G156" s="2" t="n"/>
      <c r="H156" s="2">
        <f>IF(C156="","",IF(LEN(C156)&lt;&gt;13,"Nema 13 cifara (ima "&amp;LEN(C156)&amp;")",IF(J156="","JMBG sadrži nešto što nije cifra",IF(L156="","Nepostojeći datum rođenja",IF(VALUE(MID(C156,13,1))&lt;&gt;J156,"Pogrešna kontrolna cifra — treba "&amp;J156,"✓ ispravan")))))</f>
        <v/>
      </c>
      <c r="I156">
        <f>IFERROR(IF(LEN(C156)&lt;&gt;13,"",7*(VALUE(MID(C156,1,1))+VALUE(MID(C156,7,1)))+6*(VALUE(MID(C156,2,1))+VALUE(MID(C156,8,1)))+5*(VALUE(MID(C156,3,1))+VALUE(MID(C156,9,1)))+4*(VALUE(MID(C156,4,1))+VALUE(MID(C156,10,1)))+3*(VALUE(MID(C156,5,1))+VALUE(MID(C156,11,1)))+2*(VALUE(MID(C156,6,1))+VALUE(MID(C156,12,1)))),"")</f>
        <v/>
      </c>
      <c r="J156">
        <f>IF(I156="","",IF(11-MOD(I156,11)&gt;9,0,11-MOD(I156,11)))</f>
        <v/>
      </c>
      <c r="K156">
        <f>IFERROR(IF(LEN(C156)&lt;&gt;13,"",IF(VALUE(MID(C156,5,3))&gt;=800,1000,2000)+VALUE(MID(C156,5,3))),"")</f>
        <v/>
      </c>
      <c r="L156">
        <f>IFERROR(IF(K156="","",IF(AND(DAY(DATE(K156,VALUE(MID(C156,3,2)),VALUE(MID(C156,1,2))))=VALUE(MID(C156,1,2)),MONTH(DATE(K156,VALUE(MID(C156,3,2)),VALUE(MID(C156,1,2))))=VALUE(MID(C156,3,2))),DATE(K156,VALUE(MID(C156,3,2)),VALUE(MID(C156,1,2))),"")),"")</f>
        <v/>
      </c>
    </row>
    <row r="157">
      <c r="A157" s="2" t="n"/>
      <c r="B157" s="2" t="n"/>
      <c r="C157" s="3" t="n"/>
      <c r="D157" s="2" t="n"/>
      <c r="E157" s="4" t="n"/>
      <c r="F157" s="2" t="n"/>
      <c r="G157" s="2" t="n"/>
      <c r="H157" s="2">
        <f>IF(C157="","",IF(LEN(C157)&lt;&gt;13,"Nema 13 cifara (ima "&amp;LEN(C157)&amp;")",IF(J157="","JMBG sadrži nešto što nije cifra",IF(L157="","Nepostojeći datum rođenja",IF(VALUE(MID(C157,13,1))&lt;&gt;J157,"Pogrešna kontrolna cifra — treba "&amp;J157,"✓ ispravan")))))</f>
        <v/>
      </c>
      <c r="I157">
        <f>IFERROR(IF(LEN(C157)&lt;&gt;13,"",7*(VALUE(MID(C157,1,1))+VALUE(MID(C157,7,1)))+6*(VALUE(MID(C157,2,1))+VALUE(MID(C157,8,1)))+5*(VALUE(MID(C157,3,1))+VALUE(MID(C157,9,1)))+4*(VALUE(MID(C157,4,1))+VALUE(MID(C157,10,1)))+3*(VALUE(MID(C157,5,1))+VALUE(MID(C157,11,1)))+2*(VALUE(MID(C157,6,1))+VALUE(MID(C157,12,1)))),"")</f>
        <v/>
      </c>
      <c r="J157">
        <f>IF(I157="","",IF(11-MOD(I157,11)&gt;9,0,11-MOD(I157,11)))</f>
        <v/>
      </c>
      <c r="K157">
        <f>IFERROR(IF(LEN(C157)&lt;&gt;13,"",IF(VALUE(MID(C157,5,3))&gt;=800,1000,2000)+VALUE(MID(C157,5,3))),"")</f>
        <v/>
      </c>
      <c r="L157">
        <f>IFERROR(IF(K157="","",IF(AND(DAY(DATE(K157,VALUE(MID(C157,3,2)),VALUE(MID(C157,1,2))))=VALUE(MID(C157,1,2)),MONTH(DATE(K157,VALUE(MID(C157,3,2)),VALUE(MID(C157,1,2))))=VALUE(MID(C157,3,2))),DATE(K157,VALUE(MID(C157,3,2)),VALUE(MID(C157,1,2))),"")),"")</f>
        <v/>
      </c>
    </row>
    <row r="158">
      <c r="A158" s="2" t="n"/>
      <c r="B158" s="2" t="n"/>
      <c r="C158" s="3" t="n"/>
      <c r="D158" s="2" t="n"/>
      <c r="E158" s="4" t="n"/>
      <c r="F158" s="2" t="n"/>
      <c r="G158" s="2" t="n"/>
      <c r="H158" s="2">
        <f>IF(C158="","",IF(LEN(C158)&lt;&gt;13,"Nema 13 cifara (ima "&amp;LEN(C158)&amp;")",IF(J158="","JMBG sadrži nešto što nije cifra",IF(L158="","Nepostojeći datum rođenja",IF(VALUE(MID(C158,13,1))&lt;&gt;J158,"Pogrešna kontrolna cifra — treba "&amp;J158,"✓ ispravan")))))</f>
        <v/>
      </c>
      <c r="I158">
        <f>IFERROR(IF(LEN(C158)&lt;&gt;13,"",7*(VALUE(MID(C158,1,1))+VALUE(MID(C158,7,1)))+6*(VALUE(MID(C158,2,1))+VALUE(MID(C158,8,1)))+5*(VALUE(MID(C158,3,1))+VALUE(MID(C158,9,1)))+4*(VALUE(MID(C158,4,1))+VALUE(MID(C158,10,1)))+3*(VALUE(MID(C158,5,1))+VALUE(MID(C158,11,1)))+2*(VALUE(MID(C158,6,1))+VALUE(MID(C158,12,1)))),"")</f>
        <v/>
      </c>
      <c r="J158">
        <f>IF(I158="","",IF(11-MOD(I158,11)&gt;9,0,11-MOD(I158,11)))</f>
        <v/>
      </c>
      <c r="K158">
        <f>IFERROR(IF(LEN(C158)&lt;&gt;13,"",IF(VALUE(MID(C158,5,3))&gt;=800,1000,2000)+VALUE(MID(C158,5,3))),"")</f>
        <v/>
      </c>
      <c r="L158">
        <f>IFERROR(IF(K158="","",IF(AND(DAY(DATE(K158,VALUE(MID(C158,3,2)),VALUE(MID(C158,1,2))))=VALUE(MID(C158,1,2)),MONTH(DATE(K158,VALUE(MID(C158,3,2)),VALUE(MID(C158,1,2))))=VALUE(MID(C158,3,2))),DATE(K158,VALUE(MID(C158,3,2)),VALUE(MID(C158,1,2))),"")),"")</f>
        <v/>
      </c>
    </row>
    <row r="159">
      <c r="A159" s="2" t="n"/>
      <c r="B159" s="2" t="n"/>
      <c r="C159" s="3" t="n"/>
      <c r="D159" s="2" t="n"/>
      <c r="E159" s="4" t="n"/>
      <c r="F159" s="2" t="n"/>
      <c r="G159" s="2" t="n"/>
      <c r="H159" s="2">
        <f>IF(C159="","",IF(LEN(C159)&lt;&gt;13,"Nema 13 cifara (ima "&amp;LEN(C159)&amp;")",IF(J159="","JMBG sadrži nešto što nije cifra",IF(L159="","Nepostojeći datum rođenja",IF(VALUE(MID(C159,13,1))&lt;&gt;J159,"Pogrešna kontrolna cifra — treba "&amp;J159,"✓ ispravan")))))</f>
        <v/>
      </c>
      <c r="I159">
        <f>IFERROR(IF(LEN(C159)&lt;&gt;13,"",7*(VALUE(MID(C159,1,1))+VALUE(MID(C159,7,1)))+6*(VALUE(MID(C159,2,1))+VALUE(MID(C159,8,1)))+5*(VALUE(MID(C159,3,1))+VALUE(MID(C159,9,1)))+4*(VALUE(MID(C159,4,1))+VALUE(MID(C159,10,1)))+3*(VALUE(MID(C159,5,1))+VALUE(MID(C159,11,1)))+2*(VALUE(MID(C159,6,1))+VALUE(MID(C159,12,1)))),"")</f>
        <v/>
      </c>
      <c r="J159">
        <f>IF(I159="","",IF(11-MOD(I159,11)&gt;9,0,11-MOD(I159,11)))</f>
        <v/>
      </c>
      <c r="K159">
        <f>IFERROR(IF(LEN(C159)&lt;&gt;13,"",IF(VALUE(MID(C159,5,3))&gt;=800,1000,2000)+VALUE(MID(C159,5,3))),"")</f>
        <v/>
      </c>
      <c r="L159">
        <f>IFERROR(IF(K159="","",IF(AND(DAY(DATE(K159,VALUE(MID(C159,3,2)),VALUE(MID(C159,1,2))))=VALUE(MID(C159,1,2)),MONTH(DATE(K159,VALUE(MID(C159,3,2)),VALUE(MID(C159,1,2))))=VALUE(MID(C159,3,2))),DATE(K159,VALUE(MID(C159,3,2)),VALUE(MID(C159,1,2))),"")),"")</f>
        <v/>
      </c>
    </row>
    <row r="160">
      <c r="A160" s="2" t="n"/>
      <c r="B160" s="2" t="n"/>
      <c r="C160" s="3" t="n"/>
      <c r="D160" s="2" t="n"/>
      <c r="E160" s="4" t="n"/>
      <c r="F160" s="2" t="n"/>
      <c r="G160" s="2" t="n"/>
      <c r="H160" s="2">
        <f>IF(C160="","",IF(LEN(C160)&lt;&gt;13,"Nema 13 cifara (ima "&amp;LEN(C160)&amp;")",IF(J160="","JMBG sadrži nešto što nije cifra",IF(L160="","Nepostojeći datum rođenja",IF(VALUE(MID(C160,13,1))&lt;&gt;J160,"Pogrešna kontrolna cifra — treba "&amp;J160,"✓ ispravan")))))</f>
        <v/>
      </c>
      <c r="I160">
        <f>IFERROR(IF(LEN(C160)&lt;&gt;13,"",7*(VALUE(MID(C160,1,1))+VALUE(MID(C160,7,1)))+6*(VALUE(MID(C160,2,1))+VALUE(MID(C160,8,1)))+5*(VALUE(MID(C160,3,1))+VALUE(MID(C160,9,1)))+4*(VALUE(MID(C160,4,1))+VALUE(MID(C160,10,1)))+3*(VALUE(MID(C160,5,1))+VALUE(MID(C160,11,1)))+2*(VALUE(MID(C160,6,1))+VALUE(MID(C160,12,1)))),"")</f>
        <v/>
      </c>
      <c r="J160">
        <f>IF(I160="","",IF(11-MOD(I160,11)&gt;9,0,11-MOD(I160,11)))</f>
        <v/>
      </c>
      <c r="K160">
        <f>IFERROR(IF(LEN(C160)&lt;&gt;13,"",IF(VALUE(MID(C160,5,3))&gt;=800,1000,2000)+VALUE(MID(C160,5,3))),"")</f>
        <v/>
      </c>
      <c r="L160">
        <f>IFERROR(IF(K160="","",IF(AND(DAY(DATE(K160,VALUE(MID(C160,3,2)),VALUE(MID(C160,1,2))))=VALUE(MID(C160,1,2)),MONTH(DATE(K160,VALUE(MID(C160,3,2)),VALUE(MID(C160,1,2))))=VALUE(MID(C160,3,2))),DATE(K160,VALUE(MID(C160,3,2)),VALUE(MID(C160,1,2))),"")),"")</f>
        <v/>
      </c>
    </row>
    <row r="161">
      <c r="A161" s="2" t="n"/>
      <c r="B161" s="2" t="n"/>
      <c r="C161" s="3" t="n"/>
      <c r="D161" s="2" t="n"/>
      <c r="E161" s="4" t="n"/>
      <c r="F161" s="2" t="n"/>
      <c r="G161" s="2" t="n"/>
      <c r="H161" s="2">
        <f>IF(C161="","",IF(LEN(C161)&lt;&gt;13,"Nema 13 cifara (ima "&amp;LEN(C161)&amp;")",IF(J161="","JMBG sadrži nešto što nije cifra",IF(L161="","Nepostojeći datum rođenja",IF(VALUE(MID(C161,13,1))&lt;&gt;J161,"Pogrešna kontrolna cifra — treba "&amp;J161,"✓ ispravan")))))</f>
        <v/>
      </c>
      <c r="I161">
        <f>IFERROR(IF(LEN(C161)&lt;&gt;13,"",7*(VALUE(MID(C161,1,1))+VALUE(MID(C161,7,1)))+6*(VALUE(MID(C161,2,1))+VALUE(MID(C161,8,1)))+5*(VALUE(MID(C161,3,1))+VALUE(MID(C161,9,1)))+4*(VALUE(MID(C161,4,1))+VALUE(MID(C161,10,1)))+3*(VALUE(MID(C161,5,1))+VALUE(MID(C161,11,1)))+2*(VALUE(MID(C161,6,1))+VALUE(MID(C161,12,1)))),"")</f>
        <v/>
      </c>
      <c r="J161">
        <f>IF(I161="","",IF(11-MOD(I161,11)&gt;9,0,11-MOD(I161,11)))</f>
        <v/>
      </c>
      <c r="K161">
        <f>IFERROR(IF(LEN(C161)&lt;&gt;13,"",IF(VALUE(MID(C161,5,3))&gt;=800,1000,2000)+VALUE(MID(C161,5,3))),"")</f>
        <v/>
      </c>
      <c r="L161">
        <f>IFERROR(IF(K161="","",IF(AND(DAY(DATE(K161,VALUE(MID(C161,3,2)),VALUE(MID(C161,1,2))))=VALUE(MID(C161,1,2)),MONTH(DATE(K161,VALUE(MID(C161,3,2)),VALUE(MID(C161,1,2))))=VALUE(MID(C161,3,2))),DATE(K161,VALUE(MID(C161,3,2)),VALUE(MID(C161,1,2))),"")),"")</f>
        <v/>
      </c>
    </row>
    <row r="162">
      <c r="A162" s="2" t="n"/>
      <c r="B162" s="2" t="n"/>
      <c r="C162" s="3" t="n"/>
      <c r="D162" s="2" t="n"/>
      <c r="E162" s="4" t="n"/>
      <c r="F162" s="2" t="n"/>
      <c r="G162" s="2" t="n"/>
      <c r="H162" s="2">
        <f>IF(C162="","",IF(LEN(C162)&lt;&gt;13,"Nema 13 cifara (ima "&amp;LEN(C162)&amp;")",IF(J162="","JMBG sadrži nešto što nije cifra",IF(L162="","Nepostojeći datum rođenja",IF(VALUE(MID(C162,13,1))&lt;&gt;J162,"Pogrešna kontrolna cifra — treba "&amp;J162,"✓ ispravan")))))</f>
        <v/>
      </c>
      <c r="I162">
        <f>IFERROR(IF(LEN(C162)&lt;&gt;13,"",7*(VALUE(MID(C162,1,1))+VALUE(MID(C162,7,1)))+6*(VALUE(MID(C162,2,1))+VALUE(MID(C162,8,1)))+5*(VALUE(MID(C162,3,1))+VALUE(MID(C162,9,1)))+4*(VALUE(MID(C162,4,1))+VALUE(MID(C162,10,1)))+3*(VALUE(MID(C162,5,1))+VALUE(MID(C162,11,1)))+2*(VALUE(MID(C162,6,1))+VALUE(MID(C162,12,1)))),"")</f>
        <v/>
      </c>
      <c r="J162">
        <f>IF(I162="","",IF(11-MOD(I162,11)&gt;9,0,11-MOD(I162,11)))</f>
        <v/>
      </c>
      <c r="K162">
        <f>IFERROR(IF(LEN(C162)&lt;&gt;13,"",IF(VALUE(MID(C162,5,3))&gt;=800,1000,2000)+VALUE(MID(C162,5,3))),"")</f>
        <v/>
      </c>
      <c r="L162">
        <f>IFERROR(IF(K162="","",IF(AND(DAY(DATE(K162,VALUE(MID(C162,3,2)),VALUE(MID(C162,1,2))))=VALUE(MID(C162,1,2)),MONTH(DATE(K162,VALUE(MID(C162,3,2)),VALUE(MID(C162,1,2))))=VALUE(MID(C162,3,2))),DATE(K162,VALUE(MID(C162,3,2)),VALUE(MID(C162,1,2))),"")),"")</f>
        <v/>
      </c>
    </row>
    <row r="163">
      <c r="A163" s="2" t="n"/>
      <c r="B163" s="2" t="n"/>
      <c r="C163" s="3" t="n"/>
      <c r="D163" s="2" t="n"/>
      <c r="E163" s="4" t="n"/>
      <c r="F163" s="2" t="n"/>
      <c r="G163" s="2" t="n"/>
      <c r="H163" s="2">
        <f>IF(C163="","",IF(LEN(C163)&lt;&gt;13,"Nema 13 cifara (ima "&amp;LEN(C163)&amp;")",IF(J163="","JMBG sadrži nešto što nije cifra",IF(L163="","Nepostojeći datum rođenja",IF(VALUE(MID(C163,13,1))&lt;&gt;J163,"Pogrešna kontrolna cifra — treba "&amp;J163,"✓ ispravan")))))</f>
        <v/>
      </c>
      <c r="I163">
        <f>IFERROR(IF(LEN(C163)&lt;&gt;13,"",7*(VALUE(MID(C163,1,1))+VALUE(MID(C163,7,1)))+6*(VALUE(MID(C163,2,1))+VALUE(MID(C163,8,1)))+5*(VALUE(MID(C163,3,1))+VALUE(MID(C163,9,1)))+4*(VALUE(MID(C163,4,1))+VALUE(MID(C163,10,1)))+3*(VALUE(MID(C163,5,1))+VALUE(MID(C163,11,1)))+2*(VALUE(MID(C163,6,1))+VALUE(MID(C163,12,1)))),"")</f>
        <v/>
      </c>
      <c r="J163">
        <f>IF(I163="","",IF(11-MOD(I163,11)&gt;9,0,11-MOD(I163,11)))</f>
        <v/>
      </c>
      <c r="K163">
        <f>IFERROR(IF(LEN(C163)&lt;&gt;13,"",IF(VALUE(MID(C163,5,3))&gt;=800,1000,2000)+VALUE(MID(C163,5,3))),"")</f>
        <v/>
      </c>
      <c r="L163">
        <f>IFERROR(IF(K163="","",IF(AND(DAY(DATE(K163,VALUE(MID(C163,3,2)),VALUE(MID(C163,1,2))))=VALUE(MID(C163,1,2)),MONTH(DATE(K163,VALUE(MID(C163,3,2)),VALUE(MID(C163,1,2))))=VALUE(MID(C163,3,2))),DATE(K163,VALUE(MID(C163,3,2)),VALUE(MID(C163,1,2))),"")),"")</f>
        <v/>
      </c>
    </row>
    <row r="164">
      <c r="A164" s="2" t="n"/>
      <c r="B164" s="2" t="n"/>
      <c r="C164" s="3" t="n"/>
      <c r="D164" s="2" t="n"/>
      <c r="E164" s="4" t="n"/>
      <c r="F164" s="2" t="n"/>
      <c r="G164" s="2" t="n"/>
      <c r="H164" s="2">
        <f>IF(C164="","",IF(LEN(C164)&lt;&gt;13,"Nema 13 cifara (ima "&amp;LEN(C164)&amp;")",IF(J164="","JMBG sadrži nešto što nije cifra",IF(L164="","Nepostojeći datum rođenja",IF(VALUE(MID(C164,13,1))&lt;&gt;J164,"Pogrešna kontrolna cifra — treba "&amp;J164,"✓ ispravan")))))</f>
        <v/>
      </c>
      <c r="I164">
        <f>IFERROR(IF(LEN(C164)&lt;&gt;13,"",7*(VALUE(MID(C164,1,1))+VALUE(MID(C164,7,1)))+6*(VALUE(MID(C164,2,1))+VALUE(MID(C164,8,1)))+5*(VALUE(MID(C164,3,1))+VALUE(MID(C164,9,1)))+4*(VALUE(MID(C164,4,1))+VALUE(MID(C164,10,1)))+3*(VALUE(MID(C164,5,1))+VALUE(MID(C164,11,1)))+2*(VALUE(MID(C164,6,1))+VALUE(MID(C164,12,1)))),"")</f>
        <v/>
      </c>
      <c r="J164">
        <f>IF(I164="","",IF(11-MOD(I164,11)&gt;9,0,11-MOD(I164,11)))</f>
        <v/>
      </c>
      <c r="K164">
        <f>IFERROR(IF(LEN(C164)&lt;&gt;13,"",IF(VALUE(MID(C164,5,3))&gt;=800,1000,2000)+VALUE(MID(C164,5,3))),"")</f>
        <v/>
      </c>
      <c r="L164">
        <f>IFERROR(IF(K164="","",IF(AND(DAY(DATE(K164,VALUE(MID(C164,3,2)),VALUE(MID(C164,1,2))))=VALUE(MID(C164,1,2)),MONTH(DATE(K164,VALUE(MID(C164,3,2)),VALUE(MID(C164,1,2))))=VALUE(MID(C164,3,2))),DATE(K164,VALUE(MID(C164,3,2)),VALUE(MID(C164,1,2))),"")),"")</f>
        <v/>
      </c>
    </row>
    <row r="165">
      <c r="A165" s="2" t="n"/>
      <c r="B165" s="2" t="n"/>
      <c r="C165" s="3" t="n"/>
      <c r="D165" s="2" t="n"/>
      <c r="E165" s="4" t="n"/>
      <c r="F165" s="2" t="n"/>
      <c r="G165" s="2" t="n"/>
      <c r="H165" s="2">
        <f>IF(C165="","",IF(LEN(C165)&lt;&gt;13,"Nema 13 cifara (ima "&amp;LEN(C165)&amp;")",IF(J165="","JMBG sadrži nešto što nije cifra",IF(L165="","Nepostojeći datum rođenja",IF(VALUE(MID(C165,13,1))&lt;&gt;J165,"Pogrešna kontrolna cifra — treba "&amp;J165,"✓ ispravan")))))</f>
        <v/>
      </c>
      <c r="I165">
        <f>IFERROR(IF(LEN(C165)&lt;&gt;13,"",7*(VALUE(MID(C165,1,1))+VALUE(MID(C165,7,1)))+6*(VALUE(MID(C165,2,1))+VALUE(MID(C165,8,1)))+5*(VALUE(MID(C165,3,1))+VALUE(MID(C165,9,1)))+4*(VALUE(MID(C165,4,1))+VALUE(MID(C165,10,1)))+3*(VALUE(MID(C165,5,1))+VALUE(MID(C165,11,1)))+2*(VALUE(MID(C165,6,1))+VALUE(MID(C165,12,1)))),"")</f>
        <v/>
      </c>
      <c r="J165">
        <f>IF(I165="","",IF(11-MOD(I165,11)&gt;9,0,11-MOD(I165,11)))</f>
        <v/>
      </c>
      <c r="K165">
        <f>IFERROR(IF(LEN(C165)&lt;&gt;13,"",IF(VALUE(MID(C165,5,3))&gt;=800,1000,2000)+VALUE(MID(C165,5,3))),"")</f>
        <v/>
      </c>
      <c r="L165">
        <f>IFERROR(IF(K165="","",IF(AND(DAY(DATE(K165,VALUE(MID(C165,3,2)),VALUE(MID(C165,1,2))))=VALUE(MID(C165,1,2)),MONTH(DATE(K165,VALUE(MID(C165,3,2)),VALUE(MID(C165,1,2))))=VALUE(MID(C165,3,2))),DATE(K165,VALUE(MID(C165,3,2)),VALUE(MID(C165,1,2))),"")),"")</f>
        <v/>
      </c>
    </row>
    <row r="166">
      <c r="A166" s="2" t="n"/>
      <c r="B166" s="2" t="n"/>
      <c r="C166" s="3" t="n"/>
      <c r="D166" s="2" t="n"/>
      <c r="E166" s="4" t="n"/>
      <c r="F166" s="2" t="n"/>
      <c r="G166" s="2" t="n"/>
      <c r="H166" s="2">
        <f>IF(C166="","",IF(LEN(C166)&lt;&gt;13,"Nema 13 cifara (ima "&amp;LEN(C166)&amp;")",IF(J166="","JMBG sadrži nešto što nije cifra",IF(L166="","Nepostojeći datum rođenja",IF(VALUE(MID(C166,13,1))&lt;&gt;J166,"Pogrešna kontrolna cifra — treba "&amp;J166,"✓ ispravan")))))</f>
        <v/>
      </c>
      <c r="I166">
        <f>IFERROR(IF(LEN(C166)&lt;&gt;13,"",7*(VALUE(MID(C166,1,1))+VALUE(MID(C166,7,1)))+6*(VALUE(MID(C166,2,1))+VALUE(MID(C166,8,1)))+5*(VALUE(MID(C166,3,1))+VALUE(MID(C166,9,1)))+4*(VALUE(MID(C166,4,1))+VALUE(MID(C166,10,1)))+3*(VALUE(MID(C166,5,1))+VALUE(MID(C166,11,1)))+2*(VALUE(MID(C166,6,1))+VALUE(MID(C166,12,1)))),"")</f>
        <v/>
      </c>
      <c r="J166">
        <f>IF(I166="","",IF(11-MOD(I166,11)&gt;9,0,11-MOD(I166,11)))</f>
        <v/>
      </c>
      <c r="K166">
        <f>IFERROR(IF(LEN(C166)&lt;&gt;13,"",IF(VALUE(MID(C166,5,3))&gt;=800,1000,2000)+VALUE(MID(C166,5,3))),"")</f>
        <v/>
      </c>
      <c r="L166">
        <f>IFERROR(IF(K166="","",IF(AND(DAY(DATE(K166,VALUE(MID(C166,3,2)),VALUE(MID(C166,1,2))))=VALUE(MID(C166,1,2)),MONTH(DATE(K166,VALUE(MID(C166,3,2)),VALUE(MID(C166,1,2))))=VALUE(MID(C166,3,2))),DATE(K166,VALUE(MID(C166,3,2)),VALUE(MID(C166,1,2))),"")),"")</f>
        <v/>
      </c>
    </row>
    <row r="167">
      <c r="A167" s="2" t="n"/>
      <c r="B167" s="2" t="n"/>
      <c r="C167" s="3" t="n"/>
      <c r="D167" s="2" t="n"/>
      <c r="E167" s="4" t="n"/>
      <c r="F167" s="2" t="n"/>
      <c r="G167" s="2" t="n"/>
      <c r="H167" s="2">
        <f>IF(C167="","",IF(LEN(C167)&lt;&gt;13,"Nema 13 cifara (ima "&amp;LEN(C167)&amp;")",IF(J167="","JMBG sadrži nešto što nije cifra",IF(L167="","Nepostojeći datum rođenja",IF(VALUE(MID(C167,13,1))&lt;&gt;J167,"Pogrešna kontrolna cifra — treba "&amp;J167,"✓ ispravan")))))</f>
        <v/>
      </c>
      <c r="I167">
        <f>IFERROR(IF(LEN(C167)&lt;&gt;13,"",7*(VALUE(MID(C167,1,1))+VALUE(MID(C167,7,1)))+6*(VALUE(MID(C167,2,1))+VALUE(MID(C167,8,1)))+5*(VALUE(MID(C167,3,1))+VALUE(MID(C167,9,1)))+4*(VALUE(MID(C167,4,1))+VALUE(MID(C167,10,1)))+3*(VALUE(MID(C167,5,1))+VALUE(MID(C167,11,1)))+2*(VALUE(MID(C167,6,1))+VALUE(MID(C167,12,1)))),"")</f>
        <v/>
      </c>
      <c r="J167">
        <f>IF(I167="","",IF(11-MOD(I167,11)&gt;9,0,11-MOD(I167,11)))</f>
        <v/>
      </c>
      <c r="K167">
        <f>IFERROR(IF(LEN(C167)&lt;&gt;13,"",IF(VALUE(MID(C167,5,3))&gt;=800,1000,2000)+VALUE(MID(C167,5,3))),"")</f>
        <v/>
      </c>
      <c r="L167">
        <f>IFERROR(IF(K167="","",IF(AND(DAY(DATE(K167,VALUE(MID(C167,3,2)),VALUE(MID(C167,1,2))))=VALUE(MID(C167,1,2)),MONTH(DATE(K167,VALUE(MID(C167,3,2)),VALUE(MID(C167,1,2))))=VALUE(MID(C167,3,2))),DATE(K167,VALUE(MID(C167,3,2)),VALUE(MID(C167,1,2))),"")),"")</f>
        <v/>
      </c>
    </row>
    <row r="168">
      <c r="A168" s="2" t="n"/>
      <c r="B168" s="2" t="n"/>
      <c r="C168" s="3" t="n"/>
      <c r="D168" s="2" t="n"/>
      <c r="E168" s="4" t="n"/>
      <c r="F168" s="2" t="n"/>
      <c r="G168" s="2" t="n"/>
      <c r="H168" s="2">
        <f>IF(C168="","",IF(LEN(C168)&lt;&gt;13,"Nema 13 cifara (ima "&amp;LEN(C168)&amp;")",IF(J168="","JMBG sadrži nešto što nije cifra",IF(L168="","Nepostojeći datum rođenja",IF(VALUE(MID(C168,13,1))&lt;&gt;J168,"Pogrešna kontrolna cifra — treba "&amp;J168,"✓ ispravan")))))</f>
        <v/>
      </c>
      <c r="I168">
        <f>IFERROR(IF(LEN(C168)&lt;&gt;13,"",7*(VALUE(MID(C168,1,1))+VALUE(MID(C168,7,1)))+6*(VALUE(MID(C168,2,1))+VALUE(MID(C168,8,1)))+5*(VALUE(MID(C168,3,1))+VALUE(MID(C168,9,1)))+4*(VALUE(MID(C168,4,1))+VALUE(MID(C168,10,1)))+3*(VALUE(MID(C168,5,1))+VALUE(MID(C168,11,1)))+2*(VALUE(MID(C168,6,1))+VALUE(MID(C168,12,1)))),"")</f>
        <v/>
      </c>
      <c r="J168">
        <f>IF(I168="","",IF(11-MOD(I168,11)&gt;9,0,11-MOD(I168,11)))</f>
        <v/>
      </c>
      <c r="K168">
        <f>IFERROR(IF(LEN(C168)&lt;&gt;13,"",IF(VALUE(MID(C168,5,3))&gt;=800,1000,2000)+VALUE(MID(C168,5,3))),"")</f>
        <v/>
      </c>
      <c r="L168">
        <f>IFERROR(IF(K168="","",IF(AND(DAY(DATE(K168,VALUE(MID(C168,3,2)),VALUE(MID(C168,1,2))))=VALUE(MID(C168,1,2)),MONTH(DATE(K168,VALUE(MID(C168,3,2)),VALUE(MID(C168,1,2))))=VALUE(MID(C168,3,2))),DATE(K168,VALUE(MID(C168,3,2)),VALUE(MID(C168,1,2))),"")),"")</f>
        <v/>
      </c>
    </row>
    <row r="169">
      <c r="A169" s="2" t="n"/>
      <c r="B169" s="2" t="n"/>
      <c r="C169" s="3" t="n"/>
      <c r="D169" s="2" t="n"/>
      <c r="E169" s="4" t="n"/>
      <c r="F169" s="2" t="n"/>
      <c r="G169" s="2" t="n"/>
      <c r="H169" s="2">
        <f>IF(C169="","",IF(LEN(C169)&lt;&gt;13,"Nema 13 cifara (ima "&amp;LEN(C169)&amp;")",IF(J169="","JMBG sadrži nešto što nije cifra",IF(L169="","Nepostojeći datum rođenja",IF(VALUE(MID(C169,13,1))&lt;&gt;J169,"Pogrešna kontrolna cifra — treba "&amp;J169,"✓ ispravan")))))</f>
        <v/>
      </c>
      <c r="I169">
        <f>IFERROR(IF(LEN(C169)&lt;&gt;13,"",7*(VALUE(MID(C169,1,1))+VALUE(MID(C169,7,1)))+6*(VALUE(MID(C169,2,1))+VALUE(MID(C169,8,1)))+5*(VALUE(MID(C169,3,1))+VALUE(MID(C169,9,1)))+4*(VALUE(MID(C169,4,1))+VALUE(MID(C169,10,1)))+3*(VALUE(MID(C169,5,1))+VALUE(MID(C169,11,1)))+2*(VALUE(MID(C169,6,1))+VALUE(MID(C169,12,1)))),"")</f>
        <v/>
      </c>
      <c r="J169">
        <f>IF(I169="","",IF(11-MOD(I169,11)&gt;9,0,11-MOD(I169,11)))</f>
        <v/>
      </c>
      <c r="K169">
        <f>IFERROR(IF(LEN(C169)&lt;&gt;13,"",IF(VALUE(MID(C169,5,3))&gt;=800,1000,2000)+VALUE(MID(C169,5,3))),"")</f>
        <v/>
      </c>
      <c r="L169">
        <f>IFERROR(IF(K169="","",IF(AND(DAY(DATE(K169,VALUE(MID(C169,3,2)),VALUE(MID(C169,1,2))))=VALUE(MID(C169,1,2)),MONTH(DATE(K169,VALUE(MID(C169,3,2)),VALUE(MID(C169,1,2))))=VALUE(MID(C169,3,2))),DATE(K169,VALUE(MID(C169,3,2)),VALUE(MID(C169,1,2))),"")),"")</f>
        <v/>
      </c>
    </row>
    <row r="170">
      <c r="A170" s="2" t="n"/>
      <c r="B170" s="2" t="n"/>
      <c r="C170" s="3" t="n"/>
      <c r="D170" s="2" t="n"/>
      <c r="E170" s="4" t="n"/>
      <c r="F170" s="2" t="n"/>
      <c r="G170" s="2" t="n"/>
      <c r="H170" s="2">
        <f>IF(C170="","",IF(LEN(C170)&lt;&gt;13,"Nema 13 cifara (ima "&amp;LEN(C170)&amp;")",IF(J170="","JMBG sadrži nešto što nije cifra",IF(L170="","Nepostojeći datum rođenja",IF(VALUE(MID(C170,13,1))&lt;&gt;J170,"Pogrešna kontrolna cifra — treba "&amp;J170,"✓ ispravan")))))</f>
        <v/>
      </c>
      <c r="I170">
        <f>IFERROR(IF(LEN(C170)&lt;&gt;13,"",7*(VALUE(MID(C170,1,1))+VALUE(MID(C170,7,1)))+6*(VALUE(MID(C170,2,1))+VALUE(MID(C170,8,1)))+5*(VALUE(MID(C170,3,1))+VALUE(MID(C170,9,1)))+4*(VALUE(MID(C170,4,1))+VALUE(MID(C170,10,1)))+3*(VALUE(MID(C170,5,1))+VALUE(MID(C170,11,1)))+2*(VALUE(MID(C170,6,1))+VALUE(MID(C170,12,1)))),"")</f>
        <v/>
      </c>
      <c r="J170">
        <f>IF(I170="","",IF(11-MOD(I170,11)&gt;9,0,11-MOD(I170,11)))</f>
        <v/>
      </c>
      <c r="K170">
        <f>IFERROR(IF(LEN(C170)&lt;&gt;13,"",IF(VALUE(MID(C170,5,3))&gt;=800,1000,2000)+VALUE(MID(C170,5,3))),"")</f>
        <v/>
      </c>
      <c r="L170">
        <f>IFERROR(IF(K170="","",IF(AND(DAY(DATE(K170,VALUE(MID(C170,3,2)),VALUE(MID(C170,1,2))))=VALUE(MID(C170,1,2)),MONTH(DATE(K170,VALUE(MID(C170,3,2)),VALUE(MID(C170,1,2))))=VALUE(MID(C170,3,2))),DATE(K170,VALUE(MID(C170,3,2)),VALUE(MID(C170,1,2))),"")),"")</f>
        <v/>
      </c>
    </row>
    <row r="171">
      <c r="A171" s="2" t="n"/>
      <c r="B171" s="2" t="n"/>
      <c r="C171" s="3" t="n"/>
      <c r="D171" s="2" t="n"/>
      <c r="E171" s="4" t="n"/>
      <c r="F171" s="2" t="n"/>
      <c r="G171" s="2" t="n"/>
      <c r="H171" s="2">
        <f>IF(C171="","",IF(LEN(C171)&lt;&gt;13,"Nema 13 cifara (ima "&amp;LEN(C171)&amp;")",IF(J171="","JMBG sadrži nešto što nije cifra",IF(L171="","Nepostojeći datum rođenja",IF(VALUE(MID(C171,13,1))&lt;&gt;J171,"Pogrešna kontrolna cifra — treba "&amp;J171,"✓ ispravan")))))</f>
        <v/>
      </c>
      <c r="I171">
        <f>IFERROR(IF(LEN(C171)&lt;&gt;13,"",7*(VALUE(MID(C171,1,1))+VALUE(MID(C171,7,1)))+6*(VALUE(MID(C171,2,1))+VALUE(MID(C171,8,1)))+5*(VALUE(MID(C171,3,1))+VALUE(MID(C171,9,1)))+4*(VALUE(MID(C171,4,1))+VALUE(MID(C171,10,1)))+3*(VALUE(MID(C171,5,1))+VALUE(MID(C171,11,1)))+2*(VALUE(MID(C171,6,1))+VALUE(MID(C171,12,1)))),"")</f>
        <v/>
      </c>
      <c r="J171">
        <f>IF(I171="","",IF(11-MOD(I171,11)&gt;9,0,11-MOD(I171,11)))</f>
        <v/>
      </c>
      <c r="K171">
        <f>IFERROR(IF(LEN(C171)&lt;&gt;13,"",IF(VALUE(MID(C171,5,3))&gt;=800,1000,2000)+VALUE(MID(C171,5,3))),"")</f>
        <v/>
      </c>
      <c r="L171">
        <f>IFERROR(IF(K171="","",IF(AND(DAY(DATE(K171,VALUE(MID(C171,3,2)),VALUE(MID(C171,1,2))))=VALUE(MID(C171,1,2)),MONTH(DATE(K171,VALUE(MID(C171,3,2)),VALUE(MID(C171,1,2))))=VALUE(MID(C171,3,2))),DATE(K171,VALUE(MID(C171,3,2)),VALUE(MID(C171,1,2))),"")),"")</f>
        <v/>
      </c>
    </row>
    <row r="172">
      <c r="A172" s="2" t="n"/>
      <c r="B172" s="2" t="n"/>
      <c r="C172" s="3" t="n"/>
      <c r="D172" s="2" t="n"/>
      <c r="E172" s="4" t="n"/>
      <c r="F172" s="2" t="n"/>
      <c r="G172" s="2" t="n"/>
      <c r="H172" s="2">
        <f>IF(C172="","",IF(LEN(C172)&lt;&gt;13,"Nema 13 cifara (ima "&amp;LEN(C172)&amp;")",IF(J172="","JMBG sadrži nešto što nije cifra",IF(L172="","Nepostojeći datum rođenja",IF(VALUE(MID(C172,13,1))&lt;&gt;J172,"Pogrešna kontrolna cifra — treba "&amp;J172,"✓ ispravan")))))</f>
        <v/>
      </c>
      <c r="I172">
        <f>IFERROR(IF(LEN(C172)&lt;&gt;13,"",7*(VALUE(MID(C172,1,1))+VALUE(MID(C172,7,1)))+6*(VALUE(MID(C172,2,1))+VALUE(MID(C172,8,1)))+5*(VALUE(MID(C172,3,1))+VALUE(MID(C172,9,1)))+4*(VALUE(MID(C172,4,1))+VALUE(MID(C172,10,1)))+3*(VALUE(MID(C172,5,1))+VALUE(MID(C172,11,1)))+2*(VALUE(MID(C172,6,1))+VALUE(MID(C172,12,1)))),"")</f>
        <v/>
      </c>
      <c r="J172">
        <f>IF(I172="","",IF(11-MOD(I172,11)&gt;9,0,11-MOD(I172,11)))</f>
        <v/>
      </c>
      <c r="K172">
        <f>IFERROR(IF(LEN(C172)&lt;&gt;13,"",IF(VALUE(MID(C172,5,3))&gt;=800,1000,2000)+VALUE(MID(C172,5,3))),"")</f>
        <v/>
      </c>
      <c r="L172">
        <f>IFERROR(IF(K172="","",IF(AND(DAY(DATE(K172,VALUE(MID(C172,3,2)),VALUE(MID(C172,1,2))))=VALUE(MID(C172,1,2)),MONTH(DATE(K172,VALUE(MID(C172,3,2)),VALUE(MID(C172,1,2))))=VALUE(MID(C172,3,2))),DATE(K172,VALUE(MID(C172,3,2)),VALUE(MID(C172,1,2))),"")),"")</f>
        <v/>
      </c>
    </row>
    <row r="173">
      <c r="A173" s="2" t="n"/>
      <c r="B173" s="2" t="n"/>
      <c r="C173" s="3" t="n"/>
      <c r="D173" s="2" t="n"/>
      <c r="E173" s="4" t="n"/>
      <c r="F173" s="2" t="n"/>
      <c r="G173" s="2" t="n"/>
      <c r="H173" s="2">
        <f>IF(C173="","",IF(LEN(C173)&lt;&gt;13,"Nema 13 cifara (ima "&amp;LEN(C173)&amp;")",IF(J173="","JMBG sadrži nešto što nije cifra",IF(L173="","Nepostojeći datum rođenja",IF(VALUE(MID(C173,13,1))&lt;&gt;J173,"Pogrešna kontrolna cifra — treba "&amp;J173,"✓ ispravan")))))</f>
        <v/>
      </c>
      <c r="I173">
        <f>IFERROR(IF(LEN(C173)&lt;&gt;13,"",7*(VALUE(MID(C173,1,1))+VALUE(MID(C173,7,1)))+6*(VALUE(MID(C173,2,1))+VALUE(MID(C173,8,1)))+5*(VALUE(MID(C173,3,1))+VALUE(MID(C173,9,1)))+4*(VALUE(MID(C173,4,1))+VALUE(MID(C173,10,1)))+3*(VALUE(MID(C173,5,1))+VALUE(MID(C173,11,1)))+2*(VALUE(MID(C173,6,1))+VALUE(MID(C173,12,1)))),"")</f>
        <v/>
      </c>
      <c r="J173">
        <f>IF(I173="","",IF(11-MOD(I173,11)&gt;9,0,11-MOD(I173,11)))</f>
        <v/>
      </c>
      <c r="K173">
        <f>IFERROR(IF(LEN(C173)&lt;&gt;13,"",IF(VALUE(MID(C173,5,3))&gt;=800,1000,2000)+VALUE(MID(C173,5,3))),"")</f>
        <v/>
      </c>
      <c r="L173">
        <f>IFERROR(IF(K173="","",IF(AND(DAY(DATE(K173,VALUE(MID(C173,3,2)),VALUE(MID(C173,1,2))))=VALUE(MID(C173,1,2)),MONTH(DATE(K173,VALUE(MID(C173,3,2)),VALUE(MID(C173,1,2))))=VALUE(MID(C173,3,2))),DATE(K173,VALUE(MID(C173,3,2)),VALUE(MID(C173,1,2))),"")),"")</f>
        <v/>
      </c>
    </row>
    <row r="174">
      <c r="A174" s="2" t="n"/>
      <c r="B174" s="2" t="n"/>
      <c r="C174" s="3" t="n"/>
      <c r="D174" s="2" t="n"/>
      <c r="E174" s="4" t="n"/>
      <c r="F174" s="2" t="n"/>
      <c r="G174" s="2" t="n"/>
      <c r="H174" s="2">
        <f>IF(C174="","",IF(LEN(C174)&lt;&gt;13,"Nema 13 cifara (ima "&amp;LEN(C174)&amp;")",IF(J174="","JMBG sadrži nešto što nije cifra",IF(L174="","Nepostojeći datum rođenja",IF(VALUE(MID(C174,13,1))&lt;&gt;J174,"Pogrešna kontrolna cifra — treba "&amp;J174,"✓ ispravan")))))</f>
        <v/>
      </c>
      <c r="I174">
        <f>IFERROR(IF(LEN(C174)&lt;&gt;13,"",7*(VALUE(MID(C174,1,1))+VALUE(MID(C174,7,1)))+6*(VALUE(MID(C174,2,1))+VALUE(MID(C174,8,1)))+5*(VALUE(MID(C174,3,1))+VALUE(MID(C174,9,1)))+4*(VALUE(MID(C174,4,1))+VALUE(MID(C174,10,1)))+3*(VALUE(MID(C174,5,1))+VALUE(MID(C174,11,1)))+2*(VALUE(MID(C174,6,1))+VALUE(MID(C174,12,1)))),"")</f>
        <v/>
      </c>
      <c r="J174">
        <f>IF(I174="","",IF(11-MOD(I174,11)&gt;9,0,11-MOD(I174,11)))</f>
        <v/>
      </c>
      <c r="K174">
        <f>IFERROR(IF(LEN(C174)&lt;&gt;13,"",IF(VALUE(MID(C174,5,3))&gt;=800,1000,2000)+VALUE(MID(C174,5,3))),"")</f>
        <v/>
      </c>
      <c r="L174">
        <f>IFERROR(IF(K174="","",IF(AND(DAY(DATE(K174,VALUE(MID(C174,3,2)),VALUE(MID(C174,1,2))))=VALUE(MID(C174,1,2)),MONTH(DATE(K174,VALUE(MID(C174,3,2)),VALUE(MID(C174,1,2))))=VALUE(MID(C174,3,2))),DATE(K174,VALUE(MID(C174,3,2)),VALUE(MID(C174,1,2))),"")),"")</f>
        <v/>
      </c>
    </row>
    <row r="175">
      <c r="A175" s="2" t="n"/>
      <c r="B175" s="2" t="n"/>
      <c r="C175" s="3" t="n"/>
      <c r="D175" s="2" t="n"/>
      <c r="E175" s="4" t="n"/>
      <c r="F175" s="2" t="n"/>
      <c r="G175" s="2" t="n"/>
      <c r="H175" s="2">
        <f>IF(C175="","",IF(LEN(C175)&lt;&gt;13,"Nema 13 cifara (ima "&amp;LEN(C175)&amp;")",IF(J175="","JMBG sadrži nešto što nije cifra",IF(L175="","Nepostojeći datum rođenja",IF(VALUE(MID(C175,13,1))&lt;&gt;J175,"Pogrešna kontrolna cifra — treba "&amp;J175,"✓ ispravan")))))</f>
        <v/>
      </c>
      <c r="I175">
        <f>IFERROR(IF(LEN(C175)&lt;&gt;13,"",7*(VALUE(MID(C175,1,1))+VALUE(MID(C175,7,1)))+6*(VALUE(MID(C175,2,1))+VALUE(MID(C175,8,1)))+5*(VALUE(MID(C175,3,1))+VALUE(MID(C175,9,1)))+4*(VALUE(MID(C175,4,1))+VALUE(MID(C175,10,1)))+3*(VALUE(MID(C175,5,1))+VALUE(MID(C175,11,1)))+2*(VALUE(MID(C175,6,1))+VALUE(MID(C175,12,1)))),"")</f>
        <v/>
      </c>
      <c r="J175">
        <f>IF(I175="","",IF(11-MOD(I175,11)&gt;9,0,11-MOD(I175,11)))</f>
        <v/>
      </c>
      <c r="K175">
        <f>IFERROR(IF(LEN(C175)&lt;&gt;13,"",IF(VALUE(MID(C175,5,3))&gt;=800,1000,2000)+VALUE(MID(C175,5,3))),"")</f>
        <v/>
      </c>
      <c r="L175">
        <f>IFERROR(IF(K175="","",IF(AND(DAY(DATE(K175,VALUE(MID(C175,3,2)),VALUE(MID(C175,1,2))))=VALUE(MID(C175,1,2)),MONTH(DATE(K175,VALUE(MID(C175,3,2)),VALUE(MID(C175,1,2))))=VALUE(MID(C175,3,2))),DATE(K175,VALUE(MID(C175,3,2)),VALUE(MID(C175,1,2))),"")),"")</f>
        <v/>
      </c>
    </row>
    <row r="176">
      <c r="A176" s="2" t="n"/>
      <c r="B176" s="2" t="n"/>
      <c r="C176" s="3" t="n"/>
      <c r="D176" s="2" t="n"/>
      <c r="E176" s="4" t="n"/>
      <c r="F176" s="2" t="n"/>
      <c r="G176" s="2" t="n"/>
      <c r="H176" s="2">
        <f>IF(C176="","",IF(LEN(C176)&lt;&gt;13,"Nema 13 cifara (ima "&amp;LEN(C176)&amp;")",IF(J176="","JMBG sadrži nešto što nije cifra",IF(L176="","Nepostojeći datum rođenja",IF(VALUE(MID(C176,13,1))&lt;&gt;J176,"Pogrešna kontrolna cifra — treba "&amp;J176,"✓ ispravan")))))</f>
        <v/>
      </c>
      <c r="I176">
        <f>IFERROR(IF(LEN(C176)&lt;&gt;13,"",7*(VALUE(MID(C176,1,1))+VALUE(MID(C176,7,1)))+6*(VALUE(MID(C176,2,1))+VALUE(MID(C176,8,1)))+5*(VALUE(MID(C176,3,1))+VALUE(MID(C176,9,1)))+4*(VALUE(MID(C176,4,1))+VALUE(MID(C176,10,1)))+3*(VALUE(MID(C176,5,1))+VALUE(MID(C176,11,1)))+2*(VALUE(MID(C176,6,1))+VALUE(MID(C176,12,1)))),"")</f>
        <v/>
      </c>
      <c r="J176">
        <f>IF(I176="","",IF(11-MOD(I176,11)&gt;9,0,11-MOD(I176,11)))</f>
        <v/>
      </c>
      <c r="K176">
        <f>IFERROR(IF(LEN(C176)&lt;&gt;13,"",IF(VALUE(MID(C176,5,3))&gt;=800,1000,2000)+VALUE(MID(C176,5,3))),"")</f>
        <v/>
      </c>
      <c r="L176">
        <f>IFERROR(IF(K176="","",IF(AND(DAY(DATE(K176,VALUE(MID(C176,3,2)),VALUE(MID(C176,1,2))))=VALUE(MID(C176,1,2)),MONTH(DATE(K176,VALUE(MID(C176,3,2)),VALUE(MID(C176,1,2))))=VALUE(MID(C176,3,2))),DATE(K176,VALUE(MID(C176,3,2)),VALUE(MID(C176,1,2))),"")),"")</f>
        <v/>
      </c>
    </row>
    <row r="177">
      <c r="A177" s="2" t="n"/>
      <c r="B177" s="2" t="n"/>
      <c r="C177" s="3" t="n"/>
      <c r="D177" s="2" t="n"/>
      <c r="E177" s="4" t="n"/>
      <c r="F177" s="2" t="n"/>
      <c r="G177" s="2" t="n"/>
      <c r="H177" s="2">
        <f>IF(C177="","",IF(LEN(C177)&lt;&gt;13,"Nema 13 cifara (ima "&amp;LEN(C177)&amp;")",IF(J177="","JMBG sadrži nešto što nije cifra",IF(L177="","Nepostojeći datum rođenja",IF(VALUE(MID(C177,13,1))&lt;&gt;J177,"Pogrešna kontrolna cifra — treba "&amp;J177,"✓ ispravan")))))</f>
        <v/>
      </c>
      <c r="I177">
        <f>IFERROR(IF(LEN(C177)&lt;&gt;13,"",7*(VALUE(MID(C177,1,1))+VALUE(MID(C177,7,1)))+6*(VALUE(MID(C177,2,1))+VALUE(MID(C177,8,1)))+5*(VALUE(MID(C177,3,1))+VALUE(MID(C177,9,1)))+4*(VALUE(MID(C177,4,1))+VALUE(MID(C177,10,1)))+3*(VALUE(MID(C177,5,1))+VALUE(MID(C177,11,1)))+2*(VALUE(MID(C177,6,1))+VALUE(MID(C177,12,1)))),"")</f>
        <v/>
      </c>
      <c r="J177">
        <f>IF(I177="","",IF(11-MOD(I177,11)&gt;9,0,11-MOD(I177,11)))</f>
        <v/>
      </c>
      <c r="K177">
        <f>IFERROR(IF(LEN(C177)&lt;&gt;13,"",IF(VALUE(MID(C177,5,3))&gt;=800,1000,2000)+VALUE(MID(C177,5,3))),"")</f>
        <v/>
      </c>
      <c r="L177">
        <f>IFERROR(IF(K177="","",IF(AND(DAY(DATE(K177,VALUE(MID(C177,3,2)),VALUE(MID(C177,1,2))))=VALUE(MID(C177,1,2)),MONTH(DATE(K177,VALUE(MID(C177,3,2)),VALUE(MID(C177,1,2))))=VALUE(MID(C177,3,2))),DATE(K177,VALUE(MID(C177,3,2)),VALUE(MID(C177,1,2))),"")),"")</f>
        <v/>
      </c>
    </row>
    <row r="178">
      <c r="A178" s="2" t="n"/>
      <c r="B178" s="2" t="n"/>
      <c r="C178" s="3" t="n"/>
      <c r="D178" s="2" t="n"/>
      <c r="E178" s="4" t="n"/>
      <c r="F178" s="2" t="n"/>
      <c r="G178" s="2" t="n"/>
      <c r="H178" s="2">
        <f>IF(C178="","",IF(LEN(C178)&lt;&gt;13,"Nema 13 cifara (ima "&amp;LEN(C178)&amp;")",IF(J178="","JMBG sadrži nešto što nije cifra",IF(L178="","Nepostojeći datum rođenja",IF(VALUE(MID(C178,13,1))&lt;&gt;J178,"Pogrešna kontrolna cifra — treba "&amp;J178,"✓ ispravan")))))</f>
        <v/>
      </c>
      <c r="I178">
        <f>IFERROR(IF(LEN(C178)&lt;&gt;13,"",7*(VALUE(MID(C178,1,1))+VALUE(MID(C178,7,1)))+6*(VALUE(MID(C178,2,1))+VALUE(MID(C178,8,1)))+5*(VALUE(MID(C178,3,1))+VALUE(MID(C178,9,1)))+4*(VALUE(MID(C178,4,1))+VALUE(MID(C178,10,1)))+3*(VALUE(MID(C178,5,1))+VALUE(MID(C178,11,1)))+2*(VALUE(MID(C178,6,1))+VALUE(MID(C178,12,1)))),"")</f>
        <v/>
      </c>
      <c r="J178">
        <f>IF(I178="","",IF(11-MOD(I178,11)&gt;9,0,11-MOD(I178,11)))</f>
        <v/>
      </c>
      <c r="K178">
        <f>IFERROR(IF(LEN(C178)&lt;&gt;13,"",IF(VALUE(MID(C178,5,3))&gt;=800,1000,2000)+VALUE(MID(C178,5,3))),"")</f>
        <v/>
      </c>
      <c r="L178">
        <f>IFERROR(IF(K178="","",IF(AND(DAY(DATE(K178,VALUE(MID(C178,3,2)),VALUE(MID(C178,1,2))))=VALUE(MID(C178,1,2)),MONTH(DATE(K178,VALUE(MID(C178,3,2)),VALUE(MID(C178,1,2))))=VALUE(MID(C178,3,2))),DATE(K178,VALUE(MID(C178,3,2)),VALUE(MID(C178,1,2))),"")),"")</f>
        <v/>
      </c>
    </row>
    <row r="179">
      <c r="A179" s="2" t="n"/>
      <c r="B179" s="2" t="n"/>
      <c r="C179" s="3" t="n"/>
      <c r="D179" s="2" t="n"/>
      <c r="E179" s="4" t="n"/>
      <c r="F179" s="2" t="n"/>
      <c r="G179" s="2" t="n"/>
      <c r="H179" s="2">
        <f>IF(C179="","",IF(LEN(C179)&lt;&gt;13,"Nema 13 cifara (ima "&amp;LEN(C179)&amp;")",IF(J179="","JMBG sadrži nešto što nije cifra",IF(L179="","Nepostojeći datum rođenja",IF(VALUE(MID(C179,13,1))&lt;&gt;J179,"Pogrešna kontrolna cifra — treba "&amp;J179,"✓ ispravan")))))</f>
        <v/>
      </c>
      <c r="I179">
        <f>IFERROR(IF(LEN(C179)&lt;&gt;13,"",7*(VALUE(MID(C179,1,1))+VALUE(MID(C179,7,1)))+6*(VALUE(MID(C179,2,1))+VALUE(MID(C179,8,1)))+5*(VALUE(MID(C179,3,1))+VALUE(MID(C179,9,1)))+4*(VALUE(MID(C179,4,1))+VALUE(MID(C179,10,1)))+3*(VALUE(MID(C179,5,1))+VALUE(MID(C179,11,1)))+2*(VALUE(MID(C179,6,1))+VALUE(MID(C179,12,1)))),"")</f>
        <v/>
      </c>
      <c r="J179">
        <f>IF(I179="","",IF(11-MOD(I179,11)&gt;9,0,11-MOD(I179,11)))</f>
        <v/>
      </c>
      <c r="K179">
        <f>IFERROR(IF(LEN(C179)&lt;&gt;13,"",IF(VALUE(MID(C179,5,3))&gt;=800,1000,2000)+VALUE(MID(C179,5,3))),"")</f>
        <v/>
      </c>
      <c r="L179">
        <f>IFERROR(IF(K179="","",IF(AND(DAY(DATE(K179,VALUE(MID(C179,3,2)),VALUE(MID(C179,1,2))))=VALUE(MID(C179,1,2)),MONTH(DATE(K179,VALUE(MID(C179,3,2)),VALUE(MID(C179,1,2))))=VALUE(MID(C179,3,2))),DATE(K179,VALUE(MID(C179,3,2)),VALUE(MID(C179,1,2))),"")),"")</f>
        <v/>
      </c>
    </row>
    <row r="180">
      <c r="A180" s="2" t="n"/>
      <c r="B180" s="2" t="n"/>
      <c r="C180" s="3" t="n"/>
      <c r="D180" s="2" t="n"/>
      <c r="E180" s="4" t="n"/>
      <c r="F180" s="2" t="n"/>
      <c r="G180" s="2" t="n"/>
      <c r="H180" s="2">
        <f>IF(C180="","",IF(LEN(C180)&lt;&gt;13,"Nema 13 cifara (ima "&amp;LEN(C180)&amp;")",IF(J180="","JMBG sadrži nešto što nije cifra",IF(L180="","Nepostojeći datum rođenja",IF(VALUE(MID(C180,13,1))&lt;&gt;J180,"Pogrešna kontrolna cifra — treba "&amp;J180,"✓ ispravan")))))</f>
        <v/>
      </c>
      <c r="I180">
        <f>IFERROR(IF(LEN(C180)&lt;&gt;13,"",7*(VALUE(MID(C180,1,1))+VALUE(MID(C180,7,1)))+6*(VALUE(MID(C180,2,1))+VALUE(MID(C180,8,1)))+5*(VALUE(MID(C180,3,1))+VALUE(MID(C180,9,1)))+4*(VALUE(MID(C180,4,1))+VALUE(MID(C180,10,1)))+3*(VALUE(MID(C180,5,1))+VALUE(MID(C180,11,1)))+2*(VALUE(MID(C180,6,1))+VALUE(MID(C180,12,1)))),"")</f>
        <v/>
      </c>
      <c r="J180">
        <f>IF(I180="","",IF(11-MOD(I180,11)&gt;9,0,11-MOD(I180,11)))</f>
        <v/>
      </c>
      <c r="K180">
        <f>IFERROR(IF(LEN(C180)&lt;&gt;13,"",IF(VALUE(MID(C180,5,3))&gt;=800,1000,2000)+VALUE(MID(C180,5,3))),"")</f>
        <v/>
      </c>
      <c r="L180">
        <f>IFERROR(IF(K180="","",IF(AND(DAY(DATE(K180,VALUE(MID(C180,3,2)),VALUE(MID(C180,1,2))))=VALUE(MID(C180,1,2)),MONTH(DATE(K180,VALUE(MID(C180,3,2)),VALUE(MID(C180,1,2))))=VALUE(MID(C180,3,2))),DATE(K180,VALUE(MID(C180,3,2)),VALUE(MID(C180,1,2))),"")),"")</f>
        <v/>
      </c>
    </row>
    <row r="181">
      <c r="A181" s="2" t="n"/>
      <c r="B181" s="2" t="n"/>
      <c r="C181" s="3" t="n"/>
      <c r="D181" s="2" t="n"/>
      <c r="E181" s="4" t="n"/>
      <c r="F181" s="2" t="n"/>
      <c r="G181" s="2" t="n"/>
      <c r="H181" s="2">
        <f>IF(C181="","",IF(LEN(C181)&lt;&gt;13,"Nema 13 cifara (ima "&amp;LEN(C181)&amp;")",IF(J181="","JMBG sadrži nešto što nije cifra",IF(L181="","Nepostojeći datum rođenja",IF(VALUE(MID(C181,13,1))&lt;&gt;J181,"Pogrešna kontrolna cifra — treba "&amp;J181,"✓ ispravan")))))</f>
        <v/>
      </c>
      <c r="I181">
        <f>IFERROR(IF(LEN(C181)&lt;&gt;13,"",7*(VALUE(MID(C181,1,1))+VALUE(MID(C181,7,1)))+6*(VALUE(MID(C181,2,1))+VALUE(MID(C181,8,1)))+5*(VALUE(MID(C181,3,1))+VALUE(MID(C181,9,1)))+4*(VALUE(MID(C181,4,1))+VALUE(MID(C181,10,1)))+3*(VALUE(MID(C181,5,1))+VALUE(MID(C181,11,1)))+2*(VALUE(MID(C181,6,1))+VALUE(MID(C181,12,1)))),"")</f>
        <v/>
      </c>
      <c r="J181">
        <f>IF(I181="","",IF(11-MOD(I181,11)&gt;9,0,11-MOD(I181,11)))</f>
        <v/>
      </c>
      <c r="K181">
        <f>IFERROR(IF(LEN(C181)&lt;&gt;13,"",IF(VALUE(MID(C181,5,3))&gt;=800,1000,2000)+VALUE(MID(C181,5,3))),"")</f>
        <v/>
      </c>
      <c r="L181">
        <f>IFERROR(IF(K181="","",IF(AND(DAY(DATE(K181,VALUE(MID(C181,3,2)),VALUE(MID(C181,1,2))))=VALUE(MID(C181,1,2)),MONTH(DATE(K181,VALUE(MID(C181,3,2)),VALUE(MID(C181,1,2))))=VALUE(MID(C181,3,2))),DATE(K181,VALUE(MID(C181,3,2)),VALUE(MID(C181,1,2))),"")),"")</f>
        <v/>
      </c>
    </row>
    <row r="182">
      <c r="A182" s="2" t="n"/>
      <c r="B182" s="2" t="n"/>
      <c r="C182" s="3" t="n"/>
      <c r="D182" s="2" t="n"/>
      <c r="E182" s="4" t="n"/>
      <c r="F182" s="2" t="n"/>
      <c r="G182" s="2" t="n"/>
      <c r="H182" s="2">
        <f>IF(C182="","",IF(LEN(C182)&lt;&gt;13,"Nema 13 cifara (ima "&amp;LEN(C182)&amp;")",IF(J182="","JMBG sadrži nešto što nije cifra",IF(L182="","Nepostojeći datum rođenja",IF(VALUE(MID(C182,13,1))&lt;&gt;J182,"Pogrešna kontrolna cifra — treba "&amp;J182,"✓ ispravan")))))</f>
        <v/>
      </c>
      <c r="I182">
        <f>IFERROR(IF(LEN(C182)&lt;&gt;13,"",7*(VALUE(MID(C182,1,1))+VALUE(MID(C182,7,1)))+6*(VALUE(MID(C182,2,1))+VALUE(MID(C182,8,1)))+5*(VALUE(MID(C182,3,1))+VALUE(MID(C182,9,1)))+4*(VALUE(MID(C182,4,1))+VALUE(MID(C182,10,1)))+3*(VALUE(MID(C182,5,1))+VALUE(MID(C182,11,1)))+2*(VALUE(MID(C182,6,1))+VALUE(MID(C182,12,1)))),"")</f>
        <v/>
      </c>
      <c r="J182">
        <f>IF(I182="","",IF(11-MOD(I182,11)&gt;9,0,11-MOD(I182,11)))</f>
        <v/>
      </c>
      <c r="K182">
        <f>IFERROR(IF(LEN(C182)&lt;&gt;13,"",IF(VALUE(MID(C182,5,3))&gt;=800,1000,2000)+VALUE(MID(C182,5,3))),"")</f>
        <v/>
      </c>
      <c r="L182">
        <f>IFERROR(IF(K182="","",IF(AND(DAY(DATE(K182,VALUE(MID(C182,3,2)),VALUE(MID(C182,1,2))))=VALUE(MID(C182,1,2)),MONTH(DATE(K182,VALUE(MID(C182,3,2)),VALUE(MID(C182,1,2))))=VALUE(MID(C182,3,2))),DATE(K182,VALUE(MID(C182,3,2)),VALUE(MID(C182,1,2))),"")),"")</f>
        <v/>
      </c>
    </row>
    <row r="183">
      <c r="A183" s="2" t="n"/>
      <c r="B183" s="2" t="n"/>
      <c r="C183" s="3" t="n"/>
      <c r="D183" s="2" t="n"/>
      <c r="E183" s="4" t="n"/>
      <c r="F183" s="2" t="n"/>
      <c r="G183" s="2" t="n"/>
      <c r="H183" s="2">
        <f>IF(C183="","",IF(LEN(C183)&lt;&gt;13,"Nema 13 cifara (ima "&amp;LEN(C183)&amp;")",IF(J183="","JMBG sadrži nešto što nije cifra",IF(L183="","Nepostojeći datum rođenja",IF(VALUE(MID(C183,13,1))&lt;&gt;J183,"Pogrešna kontrolna cifra — treba "&amp;J183,"✓ ispravan")))))</f>
        <v/>
      </c>
      <c r="I183">
        <f>IFERROR(IF(LEN(C183)&lt;&gt;13,"",7*(VALUE(MID(C183,1,1))+VALUE(MID(C183,7,1)))+6*(VALUE(MID(C183,2,1))+VALUE(MID(C183,8,1)))+5*(VALUE(MID(C183,3,1))+VALUE(MID(C183,9,1)))+4*(VALUE(MID(C183,4,1))+VALUE(MID(C183,10,1)))+3*(VALUE(MID(C183,5,1))+VALUE(MID(C183,11,1)))+2*(VALUE(MID(C183,6,1))+VALUE(MID(C183,12,1)))),"")</f>
        <v/>
      </c>
      <c r="J183">
        <f>IF(I183="","",IF(11-MOD(I183,11)&gt;9,0,11-MOD(I183,11)))</f>
        <v/>
      </c>
      <c r="K183">
        <f>IFERROR(IF(LEN(C183)&lt;&gt;13,"",IF(VALUE(MID(C183,5,3))&gt;=800,1000,2000)+VALUE(MID(C183,5,3))),"")</f>
        <v/>
      </c>
      <c r="L183">
        <f>IFERROR(IF(K183="","",IF(AND(DAY(DATE(K183,VALUE(MID(C183,3,2)),VALUE(MID(C183,1,2))))=VALUE(MID(C183,1,2)),MONTH(DATE(K183,VALUE(MID(C183,3,2)),VALUE(MID(C183,1,2))))=VALUE(MID(C183,3,2))),DATE(K183,VALUE(MID(C183,3,2)),VALUE(MID(C183,1,2))),"")),"")</f>
        <v/>
      </c>
    </row>
    <row r="184">
      <c r="A184" s="2" t="n"/>
      <c r="B184" s="2" t="n"/>
      <c r="C184" s="3" t="n"/>
      <c r="D184" s="2" t="n"/>
      <c r="E184" s="4" t="n"/>
      <c r="F184" s="2" t="n"/>
      <c r="G184" s="2" t="n"/>
      <c r="H184" s="2">
        <f>IF(C184="","",IF(LEN(C184)&lt;&gt;13,"Nema 13 cifara (ima "&amp;LEN(C184)&amp;")",IF(J184="","JMBG sadrži nešto što nije cifra",IF(L184="","Nepostojeći datum rođenja",IF(VALUE(MID(C184,13,1))&lt;&gt;J184,"Pogrešna kontrolna cifra — treba "&amp;J184,"✓ ispravan")))))</f>
        <v/>
      </c>
      <c r="I184">
        <f>IFERROR(IF(LEN(C184)&lt;&gt;13,"",7*(VALUE(MID(C184,1,1))+VALUE(MID(C184,7,1)))+6*(VALUE(MID(C184,2,1))+VALUE(MID(C184,8,1)))+5*(VALUE(MID(C184,3,1))+VALUE(MID(C184,9,1)))+4*(VALUE(MID(C184,4,1))+VALUE(MID(C184,10,1)))+3*(VALUE(MID(C184,5,1))+VALUE(MID(C184,11,1)))+2*(VALUE(MID(C184,6,1))+VALUE(MID(C184,12,1)))),"")</f>
        <v/>
      </c>
      <c r="J184">
        <f>IF(I184="","",IF(11-MOD(I184,11)&gt;9,0,11-MOD(I184,11)))</f>
        <v/>
      </c>
      <c r="K184">
        <f>IFERROR(IF(LEN(C184)&lt;&gt;13,"",IF(VALUE(MID(C184,5,3))&gt;=800,1000,2000)+VALUE(MID(C184,5,3))),"")</f>
        <v/>
      </c>
      <c r="L184">
        <f>IFERROR(IF(K184="","",IF(AND(DAY(DATE(K184,VALUE(MID(C184,3,2)),VALUE(MID(C184,1,2))))=VALUE(MID(C184,1,2)),MONTH(DATE(K184,VALUE(MID(C184,3,2)),VALUE(MID(C184,1,2))))=VALUE(MID(C184,3,2))),DATE(K184,VALUE(MID(C184,3,2)),VALUE(MID(C184,1,2))),"")),"")</f>
        <v/>
      </c>
    </row>
    <row r="185">
      <c r="A185" s="2" t="n"/>
      <c r="B185" s="2" t="n"/>
      <c r="C185" s="3" t="n"/>
      <c r="D185" s="2" t="n"/>
      <c r="E185" s="4" t="n"/>
      <c r="F185" s="2" t="n"/>
      <c r="G185" s="2" t="n"/>
      <c r="H185" s="2">
        <f>IF(C185="","",IF(LEN(C185)&lt;&gt;13,"Nema 13 cifara (ima "&amp;LEN(C185)&amp;")",IF(J185="","JMBG sadrži nešto što nije cifra",IF(L185="","Nepostojeći datum rođenja",IF(VALUE(MID(C185,13,1))&lt;&gt;J185,"Pogrešna kontrolna cifra — treba "&amp;J185,"✓ ispravan")))))</f>
        <v/>
      </c>
      <c r="I185">
        <f>IFERROR(IF(LEN(C185)&lt;&gt;13,"",7*(VALUE(MID(C185,1,1))+VALUE(MID(C185,7,1)))+6*(VALUE(MID(C185,2,1))+VALUE(MID(C185,8,1)))+5*(VALUE(MID(C185,3,1))+VALUE(MID(C185,9,1)))+4*(VALUE(MID(C185,4,1))+VALUE(MID(C185,10,1)))+3*(VALUE(MID(C185,5,1))+VALUE(MID(C185,11,1)))+2*(VALUE(MID(C185,6,1))+VALUE(MID(C185,12,1)))),"")</f>
        <v/>
      </c>
      <c r="J185">
        <f>IF(I185="","",IF(11-MOD(I185,11)&gt;9,0,11-MOD(I185,11)))</f>
        <v/>
      </c>
      <c r="K185">
        <f>IFERROR(IF(LEN(C185)&lt;&gt;13,"",IF(VALUE(MID(C185,5,3))&gt;=800,1000,2000)+VALUE(MID(C185,5,3))),"")</f>
        <v/>
      </c>
      <c r="L185">
        <f>IFERROR(IF(K185="","",IF(AND(DAY(DATE(K185,VALUE(MID(C185,3,2)),VALUE(MID(C185,1,2))))=VALUE(MID(C185,1,2)),MONTH(DATE(K185,VALUE(MID(C185,3,2)),VALUE(MID(C185,1,2))))=VALUE(MID(C185,3,2))),DATE(K185,VALUE(MID(C185,3,2)),VALUE(MID(C185,1,2))),"")),"")</f>
        <v/>
      </c>
    </row>
    <row r="186">
      <c r="A186" s="2" t="n"/>
      <c r="B186" s="2" t="n"/>
      <c r="C186" s="3" t="n"/>
      <c r="D186" s="2" t="n"/>
      <c r="E186" s="4" t="n"/>
      <c r="F186" s="2" t="n"/>
      <c r="G186" s="2" t="n"/>
      <c r="H186" s="2">
        <f>IF(C186="","",IF(LEN(C186)&lt;&gt;13,"Nema 13 cifara (ima "&amp;LEN(C186)&amp;")",IF(J186="","JMBG sadrži nešto što nije cifra",IF(L186="","Nepostojeći datum rođenja",IF(VALUE(MID(C186,13,1))&lt;&gt;J186,"Pogrešna kontrolna cifra — treba "&amp;J186,"✓ ispravan")))))</f>
        <v/>
      </c>
      <c r="I186">
        <f>IFERROR(IF(LEN(C186)&lt;&gt;13,"",7*(VALUE(MID(C186,1,1))+VALUE(MID(C186,7,1)))+6*(VALUE(MID(C186,2,1))+VALUE(MID(C186,8,1)))+5*(VALUE(MID(C186,3,1))+VALUE(MID(C186,9,1)))+4*(VALUE(MID(C186,4,1))+VALUE(MID(C186,10,1)))+3*(VALUE(MID(C186,5,1))+VALUE(MID(C186,11,1)))+2*(VALUE(MID(C186,6,1))+VALUE(MID(C186,12,1)))),"")</f>
        <v/>
      </c>
      <c r="J186">
        <f>IF(I186="","",IF(11-MOD(I186,11)&gt;9,0,11-MOD(I186,11)))</f>
        <v/>
      </c>
      <c r="K186">
        <f>IFERROR(IF(LEN(C186)&lt;&gt;13,"",IF(VALUE(MID(C186,5,3))&gt;=800,1000,2000)+VALUE(MID(C186,5,3))),"")</f>
        <v/>
      </c>
      <c r="L186">
        <f>IFERROR(IF(K186="","",IF(AND(DAY(DATE(K186,VALUE(MID(C186,3,2)),VALUE(MID(C186,1,2))))=VALUE(MID(C186,1,2)),MONTH(DATE(K186,VALUE(MID(C186,3,2)),VALUE(MID(C186,1,2))))=VALUE(MID(C186,3,2))),DATE(K186,VALUE(MID(C186,3,2)),VALUE(MID(C186,1,2))),"")),"")</f>
        <v/>
      </c>
    </row>
    <row r="187">
      <c r="A187" s="2" t="n"/>
      <c r="B187" s="2" t="n"/>
      <c r="C187" s="3" t="n"/>
      <c r="D187" s="2" t="n"/>
      <c r="E187" s="4" t="n"/>
      <c r="F187" s="2" t="n"/>
      <c r="G187" s="2" t="n"/>
      <c r="H187" s="2">
        <f>IF(C187="","",IF(LEN(C187)&lt;&gt;13,"Nema 13 cifara (ima "&amp;LEN(C187)&amp;")",IF(J187="","JMBG sadrži nešto što nije cifra",IF(L187="","Nepostojeći datum rođenja",IF(VALUE(MID(C187,13,1))&lt;&gt;J187,"Pogrešna kontrolna cifra — treba "&amp;J187,"✓ ispravan")))))</f>
        <v/>
      </c>
      <c r="I187">
        <f>IFERROR(IF(LEN(C187)&lt;&gt;13,"",7*(VALUE(MID(C187,1,1))+VALUE(MID(C187,7,1)))+6*(VALUE(MID(C187,2,1))+VALUE(MID(C187,8,1)))+5*(VALUE(MID(C187,3,1))+VALUE(MID(C187,9,1)))+4*(VALUE(MID(C187,4,1))+VALUE(MID(C187,10,1)))+3*(VALUE(MID(C187,5,1))+VALUE(MID(C187,11,1)))+2*(VALUE(MID(C187,6,1))+VALUE(MID(C187,12,1)))),"")</f>
        <v/>
      </c>
      <c r="J187">
        <f>IF(I187="","",IF(11-MOD(I187,11)&gt;9,0,11-MOD(I187,11)))</f>
        <v/>
      </c>
      <c r="K187">
        <f>IFERROR(IF(LEN(C187)&lt;&gt;13,"",IF(VALUE(MID(C187,5,3))&gt;=800,1000,2000)+VALUE(MID(C187,5,3))),"")</f>
        <v/>
      </c>
      <c r="L187">
        <f>IFERROR(IF(K187="","",IF(AND(DAY(DATE(K187,VALUE(MID(C187,3,2)),VALUE(MID(C187,1,2))))=VALUE(MID(C187,1,2)),MONTH(DATE(K187,VALUE(MID(C187,3,2)),VALUE(MID(C187,1,2))))=VALUE(MID(C187,3,2))),DATE(K187,VALUE(MID(C187,3,2)),VALUE(MID(C187,1,2))),"")),"")</f>
        <v/>
      </c>
    </row>
    <row r="188">
      <c r="A188" s="2" t="n"/>
      <c r="B188" s="2" t="n"/>
      <c r="C188" s="3" t="n"/>
      <c r="D188" s="2" t="n"/>
      <c r="E188" s="4" t="n"/>
      <c r="F188" s="2" t="n"/>
      <c r="G188" s="2" t="n"/>
      <c r="H188" s="2">
        <f>IF(C188="","",IF(LEN(C188)&lt;&gt;13,"Nema 13 cifara (ima "&amp;LEN(C188)&amp;")",IF(J188="","JMBG sadrži nešto što nije cifra",IF(L188="","Nepostojeći datum rođenja",IF(VALUE(MID(C188,13,1))&lt;&gt;J188,"Pogrešna kontrolna cifra — treba "&amp;J188,"✓ ispravan")))))</f>
        <v/>
      </c>
      <c r="I188">
        <f>IFERROR(IF(LEN(C188)&lt;&gt;13,"",7*(VALUE(MID(C188,1,1))+VALUE(MID(C188,7,1)))+6*(VALUE(MID(C188,2,1))+VALUE(MID(C188,8,1)))+5*(VALUE(MID(C188,3,1))+VALUE(MID(C188,9,1)))+4*(VALUE(MID(C188,4,1))+VALUE(MID(C188,10,1)))+3*(VALUE(MID(C188,5,1))+VALUE(MID(C188,11,1)))+2*(VALUE(MID(C188,6,1))+VALUE(MID(C188,12,1)))),"")</f>
        <v/>
      </c>
      <c r="J188">
        <f>IF(I188="","",IF(11-MOD(I188,11)&gt;9,0,11-MOD(I188,11)))</f>
        <v/>
      </c>
      <c r="K188">
        <f>IFERROR(IF(LEN(C188)&lt;&gt;13,"",IF(VALUE(MID(C188,5,3))&gt;=800,1000,2000)+VALUE(MID(C188,5,3))),"")</f>
        <v/>
      </c>
      <c r="L188">
        <f>IFERROR(IF(K188="","",IF(AND(DAY(DATE(K188,VALUE(MID(C188,3,2)),VALUE(MID(C188,1,2))))=VALUE(MID(C188,1,2)),MONTH(DATE(K188,VALUE(MID(C188,3,2)),VALUE(MID(C188,1,2))))=VALUE(MID(C188,3,2))),DATE(K188,VALUE(MID(C188,3,2)),VALUE(MID(C188,1,2))),"")),"")</f>
        <v/>
      </c>
    </row>
    <row r="189">
      <c r="A189" s="2" t="n"/>
      <c r="B189" s="2" t="n"/>
      <c r="C189" s="3" t="n"/>
      <c r="D189" s="2" t="n"/>
      <c r="E189" s="4" t="n"/>
      <c r="F189" s="2" t="n"/>
      <c r="G189" s="2" t="n"/>
      <c r="H189" s="2">
        <f>IF(C189="","",IF(LEN(C189)&lt;&gt;13,"Nema 13 cifara (ima "&amp;LEN(C189)&amp;")",IF(J189="","JMBG sadrži nešto što nije cifra",IF(L189="","Nepostojeći datum rođenja",IF(VALUE(MID(C189,13,1))&lt;&gt;J189,"Pogrešna kontrolna cifra — treba "&amp;J189,"✓ ispravan")))))</f>
        <v/>
      </c>
      <c r="I189">
        <f>IFERROR(IF(LEN(C189)&lt;&gt;13,"",7*(VALUE(MID(C189,1,1))+VALUE(MID(C189,7,1)))+6*(VALUE(MID(C189,2,1))+VALUE(MID(C189,8,1)))+5*(VALUE(MID(C189,3,1))+VALUE(MID(C189,9,1)))+4*(VALUE(MID(C189,4,1))+VALUE(MID(C189,10,1)))+3*(VALUE(MID(C189,5,1))+VALUE(MID(C189,11,1)))+2*(VALUE(MID(C189,6,1))+VALUE(MID(C189,12,1)))),"")</f>
        <v/>
      </c>
      <c r="J189">
        <f>IF(I189="","",IF(11-MOD(I189,11)&gt;9,0,11-MOD(I189,11)))</f>
        <v/>
      </c>
      <c r="K189">
        <f>IFERROR(IF(LEN(C189)&lt;&gt;13,"",IF(VALUE(MID(C189,5,3))&gt;=800,1000,2000)+VALUE(MID(C189,5,3))),"")</f>
        <v/>
      </c>
      <c r="L189">
        <f>IFERROR(IF(K189="","",IF(AND(DAY(DATE(K189,VALUE(MID(C189,3,2)),VALUE(MID(C189,1,2))))=VALUE(MID(C189,1,2)),MONTH(DATE(K189,VALUE(MID(C189,3,2)),VALUE(MID(C189,1,2))))=VALUE(MID(C189,3,2))),DATE(K189,VALUE(MID(C189,3,2)),VALUE(MID(C189,1,2))),"")),"")</f>
        <v/>
      </c>
    </row>
    <row r="190">
      <c r="A190" s="2" t="n"/>
      <c r="B190" s="2" t="n"/>
      <c r="C190" s="3" t="n"/>
      <c r="D190" s="2" t="n"/>
      <c r="E190" s="4" t="n"/>
      <c r="F190" s="2" t="n"/>
      <c r="G190" s="2" t="n"/>
      <c r="H190" s="2">
        <f>IF(C190="","",IF(LEN(C190)&lt;&gt;13,"Nema 13 cifara (ima "&amp;LEN(C190)&amp;")",IF(J190="","JMBG sadrži nešto što nije cifra",IF(L190="","Nepostojeći datum rođenja",IF(VALUE(MID(C190,13,1))&lt;&gt;J190,"Pogrešna kontrolna cifra — treba "&amp;J190,"✓ ispravan")))))</f>
        <v/>
      </c>
      <c r="I190">
        <f>IFERROR(IF(LEN(C190)&lt;&gt;13,"",7*(VALUE(MID(C190,1,1))+VALUE(MID(C190,7,1)))+6*(VALUE(MID(C190,2,1))+VALUE(MID(C190,8,1)))+5*(VALUE(MID(C190,3,1))+VALUE(MID(C190,9,1)))+4*(VALUE(MID(C190,4,1))+VALUE(MID(C190,10,1)))+3*(VALUE(MID(C190,5,1))+VALUE(MID(C190,11,1)))+2*(VALUE(MID(C190,6,1))+VALUE(MID(C190,12,1)))),"")</f>
        <v/>
      </c>
      <c r="J190">
        <f>IF(I190="","",IF(11-MOD(I190,11)&gt;9,0,11-MOD(I190,11)))</f>
        <v/>
      </c>
      <c r="K190">
        <f>IFERROR(IF(LEN(C190)&lt;&gt;13,"",IF(VALUE(MID(C190,5,3))&gt;=800,1000,2000)+VALUE(MID(C190,5,3))),"")</f>
        <v/>
      </c>
      <c r="L190">
        <f>IFERROR(IF(K190="","",IF(AND(DAY(DATE(K190,VALUE(MID(C190,3,2)),VALUE(MID(C190,1,2))))=VALUE(MID(C190,1,2)),MONTH(DATE(K190,VALUE(MID(C190,3,2)),VALUE(MID(C190,1,2))))=VALUE(MID(C190,3,2))),DATE(K190,VALUE(MID(C190,3,2)),VALUE(MID(C190,1,2))),"")),"")</f>
        <v/>
      </c>
    </row>
    <row r="191">
      <c r="A191" s="2" t="n"/>
      <c r="B191" s="2" t="n"/>
      <c r="C191" s="3" t="n"/>
      <c r="D191" s="2" t="n"/>
      <c r="E191" s="4" t="n"/>
      <c r="F191" s="2" t="n"/>
      <c r="G191" s="2" t="n"/>
      <c r="H191" s="2">
        <f>IF(C191="","",IF(LEN(C191)&lt;&gt;13,"Nema 13 cifara (ima "&amp;LEN(C191)&amp;")",IF(J191="","JMBG sadrži nešto što nije cifra",IF(L191="","Nepostojeći datum rođenja",IF(VALUE(MID(C191,13,1))&lt;&gt;J191,"Pogrešna kontrolna cifra — treba "&amp;J191,"✓ ispravan")))))</f>
        <v/>
      </c>
      <c r="I191">
        <f>IFERROR(IF(LEN(C191)&lt;&gt;13,"",7*(VALUE(MID(C191,1,1))+VALUE(MID(C191,7,1)))+6*(VALUE(MID(C191,2,1))+VALUE(MID(C191,8,1)))+5*(VALUE(MID(C191,3,1))+VALUE(MID(C191,9,1)))+4*(VALUE(MID(C191,4,1))+VALUE(MID(C191,10,1)))+3*(VALUE(MID(C191,5,1))+VALUE(MID(C191,11,1)))+2*(VALUE(MID(C191,6,1))+VALUE(MID(C191,12,1)))),"")</f>
        <v/>
      </c>
      <c r="J191">
        <f>IF(I191="","",IF(11-MOD(I191,11)&gt;9,0,11-MOD(I191,11)))</f>
        <v/>
      </c>
      <c r="K191">
        <f>IFERROR(IF(LEN(C191)&lt;&gt;13,"",IF(VALUE(MID(C191,5,3))&gt;=800,1000,2000)+VALUE(MID(C191,5,3))),"")</f>
        <v/>
      </c>
      <c r="L191">
        <f>IFERROR(IF(K191="","",IF(AND(DAY(DATE(K191,VALUE(MID(C191,3,2)),VALUE(MID(C191,1,2))))=VALUE(MID(C191,1,2)),MONTH(DATE(K191,VALUE(MID(C191,3,2)),VALUE(MID(C191,1,2))))=VALUE(MID(C191,3,2))),DATE(K191,VALUE(MID(C191,3,2)),VALUE(MID(C191,1,2))),"")),"")</f>
        <v/>
      </c>
    </row>
    <row r="192">
      <c r="A192" s="2" t="n"/>
      <c r="B192" s="2" t="n"/>
      <c r="C192" s="3" t="n"/>
      <c r="D192" s="2" t="n"/>
      <c r="E192" s="4" t="n"/>
      <c r="F192" s="2" t="n"/>
      <c r="G192" s="2" t="n"/>
      <c r="H192" s="2">
        <f>IF(C192="","",IF(LEN(C192)&lt;&gt;13,"Nema 13 cifara (ima "&amp;LEN(C192)&amp;")",IF(J192="","JMBG sadrži nešto što nije cifra",IF(L192="","Nepostojeći datum rođenja",IF(VALUE(MID(C192,13,1))&lt;&gt;J192,"Pogrešna kontrolna cifra — treba "&amp;J192,"✓ ispravan")))))</f>
        <v/>
      </c>
      <c r="I192">
        <f>IFERROR(IF(LEN(C192)&lt;&gt;13,"",7*(VALUE(MID(C192,1,1))+VALUE(MID(C192,7,1)))+6*(VALUE(MID(C192,2,1))+VALUE(MID(C192,8,1)))+5*(VALUE(MID(C192,3,1))+VALUE(MID(C192,9,1)))+4*(VALUE(MID(C192,4,1))+VALUE(MID(C192,10,1)))+3*(VALUE(MID(C192,5,1))+VALUE(MID(C192,11,1)))+2*(VALUE(MID(C192,6,1))+VALUE(MID(C192,12,1)))),"")</f>
        <v/>
      </c>
      <c r="J192">
        <f>IF(I192="","",IF(11-MOD(I192,11)&gt;9,0,11-MOD(I192,11)))</f>
        <v/>
      </c>
      <c r="K192">
        <f>IFERROR(IF(LEN(C192)&lt;&gt;13,"",IF(VALUE(MID(C192,5,3))&gt;=800,1000,2000)+VALUE(MID(C192,5,3))),"")</f>
        <v/>
      </c>
      <c r="L192">
        <f>IFERROR(IF(K192="","",IF(AND(DAY(DATE(K192,VALUE(MID(C192,3,2)),VALUE(MID(C192,1,2))))=VALUE(MID(C192,1,2)),MONTH(DATE(K192,VALUE(MID(C192,3,2)),VALUE(MID(C192,1,2))))=VALUE(MID(C192,3,2))),DATE(K192,VALUE(MID(C192,3,2)),VALUE(MID(C192,1,2))),"")),"")</f>
        <v/>
      </c>
    </row>
    <row r="193">
      <c r="A193" s="2" t="n"/>
      <c r="B193" s="2" t="n"/>
      <c r="C193" s="3" t="n"/>
      <c r="D193" s="2" t="n"/>
      <c r="E193" s="4" t="n"/>
      <c r="F193" s="2" t="n"/>
      <c r="G193" s="2" t="n"/>
      <c r="H193" s="2">
        <f>IF(C193="","",IF(LEN(C193)&lt;&gt;13,"Nema 13 cifara (ima "&amp;LEN(C193)&amp;")",IF(J193="","JMBG sadrži nešto što nije cifra",IF(L193="","Nepostojeći datum rođenja",IF(VALUE(MID(C193,13,1))&lt;&gt;J193,"Pogrešna kontrolna cifra — treba "&amp;J193,"✓ ispravan")))))</f>
        <v/>
      </c>
      <c r="I193">
        <f>IFERROR(IF(LEN(C193)&lt;&gt;13,"",7*(VALUE(MID(C193,1,1))+VALUE(MID(C193,7,1)))+6*(VALUE(MID(C193,2,1))+VALUE(MID(C193,8,1)))+5*(VALUE(MID(C193,3,1))+VALUE(MID(C193,9,1)))+4*(VALUE(MID(C193,4,1))+VALUE(MID(C193,10,1)))+3*(VALUE(MID(C193,5,1))+VALUE(MID(C193,11,1)))+2*(VALUE(MID(C193,6,1))+VALUE(MID(C193,12,1)))),"")</f>
        <v/>
      </c>
      <c r="J193">
        <f>IF(I193="","",IF(11-MOD(I193,11)&gt;9,0,11-MOD(I193,11)))</f>
        <v/>
      </c>
      <c r="K193">
        <f>IFERROR(IF(LEN(C193)&lt;&gt;13,"",IF(VALUE(MID(C193,5,3))&gt;=800,1000,2000)+VALUE(MID(C193,5,3))),"")</f>
        <v/>
      </c>
      <c r="L193">
        <f>IFERROR(IF(K193="","",IF(AND(DAY(DATE(K193,VALUE(MID(C193,3,2)),VALUE(MID(C193,1,2))))=VALUE(MID(C193,1,2)),MONTH(DATE(K193,VALUE(MID(C193,3,2)),VALUE(MID(C193,1,2))))=VALUE(MID(C193,3,2))),DATE(K193,VALUE(MID(C193,3,2)),VALUE(MID(C193,1,2))),"")),"")</f>
        <v/>
      </c>
    </row>
    <row r="194">
      <c r="A194" s="2" t="n"/>
      <c r="B194" s="2" t="n"/>
      <c r="C194" s="3" t="n"/>
      <c r="D194" s="2" t="n"/>
      <c r="E194" s="4" t="n"/>
      <c r="F194" s="2" t="n"/>
      <c r="G194" s="2" t="n"/>
      <c r="H194" s="2">
        <f>IF(C194="","",IF(LEN(C194)&lt;&gt;13,"Nema 13 cifara (ima "&amp;LEN(C194)&amp;")",IF(J194="","JMBG sadrži nešto što nije cifra",IF(L194="","Nepostojeći datum rođenja",IF(VALUE(MID(C194,13,1))&lt;&gt;J194,"Pogrešna kontrolna cifra — treba "&amp;J194,"✓ ispravan")))))</f>
        <v/>
      </c>
      <c r="I194">
        <f>IFERROR(IF(LEN(C194)&lt;&gt;13,"",7*(VALUE(MID(C194,1,1))+VALUE(MID(C194,7,1)))+6*(VALUE(MID(C194,2,1))+VALUE(MID(C194,8,1)))+5*(VALUE(MID(C194,3,1))+VALUE(MID(C194,9,1)))+4*(VALUE(MID(C194,4,1))+VALUE(MID(C194,10,1)))+3*(VALUE(MID(C194,5,1))+VALUE(MID(C194,11,1)))+2*(VALUE(MID(C194,6,1))+VALUE(MID(C194,12,1)))),"")</f>
        <v/>
      </c>
      <c r="J194">
        <f>IF(I194="","",IF(11-MOD(I194,11)&gt;9,0,11-MOD(I194,11)))</f>
        <v/>
      </c>
      <c r="K194">
        <f>IFERROR(IF(LEN(C194)&lt;&gt;13,"",IF(VALUE(MID(C194,5,3))&gt;=800,1000,2000)+VALUE(MID(C194,5,3))),"")</f>
        <v/>
      </c>
      <c r="L194">
        <f>IFERROR(IF(K194="","",IF(AND(DAY(DATE(K194,VALUE(MID(C194,3,2)),VALUE(MID(C194,1,2))))=VALUE(MID(C194,1,2)),MONTH(DATE(K194,VALUE(MID(C194,3,2)),VALUE(MID(C194,1,2))))=VALUE(MID(C194,3,2))),DATE(K194,VALUE(MID(C194,3,2)),VALUE(MID(C194,1,2))),"")),"")</f>
        <v/>
      </c>
    </row>
    <row r="195">
      <c r="A195" s="2" t="n"/>
      <c r="B195" s="2" t="n"/>
      <c r="C195" s="3" t="n"/>
      <c r="D195" s="2" t="n"/>
      <c r="E195" s="4" t="n"/>
      <c r="F195" s="2" t="n"/>
      <c r="G195" s="2" t="n"/>
      <c r="H195" s="2">
        <f>IF(C195="","",IF(LEN(C195)&lt;&gt;13,"Nema 13 cifara (ima "&amp;LEN(C195)&amp;")",IF(J195="","JMBG sadrži nešto što nije cifra",IF(L195="","Nepostojeći datum rođenja",IF(VALUE(MID(C195,13,1))&lt;&gt;J195,"Pogrešna kontrolna cifra — treba "&amp;J195,"✓ ispravan")))))</f>
        <v/>
      </c>
      <c r="I195">
        <f>IFERROR(IF(LEN(C195)&lt;&gt;13,"",7*(VALUE(MID(C195,1,1))+VALUE(MID(C195,7,1)))+6*(VALUE(MID(C195,2,1))+VALUE(MID(C195,8,1)))+5*(VALUE(MID(C195,3,1))+VALUE(MID(C195,9,1)))+4*(VALUE(MID(C195,4,1))+VALUE(MID(C195,10,1)))+3*(VALUE(MID(C195,5,1))+VALUE(MID(C195,11,1)))+2*(VALUE(MID(C195,6,1))+VALUE(MID(C195,12,1)))),"")</f>
        <v/>
      </c>
      <c r="J195">
        <f>IF(I195="","",IF(11-MOD(I195,11)&gt;9,0,11-MOD(I195,11)))</f>
        <v/>
      </c>
      <c r="K195">
        <f>IFERROR(IF(LEN(C195)&lt;&gt;13,"",IF(VALUE(MID(C195,5,3))&gt;=800,1000,2000)+VALUE(MID(C195,5,3))),"")</f>
        <v/>
      </c>
      <c r="L195">
        <f>IFERROR(IF(K195="","",IF(AND(DAY(DATE(K195,VALUE(MID(C195,3,2)),VALUE(MID(C195,1,2))))=VALUE(MID(C195,1,2)),MONTH(DATE(K195,VALUE(MID(C195,3,2)),VALUE(MID(C195,1,2))))=VALUE(MID(C195,3,2))),DATE(K195,VALUE(MID(C195,3,2)),VALUE(MID(C195,1,2))),"")),"")</f>
        <v/>
      </c>
    </row>
    <row r="196">
      <c r="A196" s="2" t="n"/>
      <c r="B196" s="2" t="n"/>
      <c r="C196" s="3" t="n"/>
      <c r="D196" s="2" t="n"/>
      <c r="E196" s="4" t="n"/>
      <c r="F196" s="2" t="n"/>
      <c r="G196" s="2" t="n"/>
      <c r="H196" s="2">
        <f>IF(C196="","",IF(LEN(C196)&lt;&gt;13,"Nema 13 cifara (ima "&amp;LEN(C196)&amp;")",IF(J196="","JMBG sadrži nešto što nije cifra",IF(L196="","Nepostojeći datum rođenja",IF(VALUE(MID(C196,13,1))&lt;&gt;J196,"Pogrešna kontrolna cifra — treba "&amp;J196,"✓ ispravan")))))</f>
        <v/>
      </c>
      <c r="I196">
        <f>IFERROR(IF(LEN(C196)&lt;&gt;13,"",7*(VALUE(MID(C196,1,1))+VALUE(MID(C196,7,1)))+6*(VALUE(MID(C196,2,1))+VALUE(MID(C196,8,1)))+5*(VALUE(MID(C196,3,1))+VALUE(MID(C196,9,1)))+4*(VALUE(MID(C196,4,1))+VALUE(MID(C196,10,1)))+3*(VALUE(MID(C196,5,1))+VALUE(MID(C196,11,1)))+2*(VALUE(MID(C196,6,1))+VALUE(MID(C196,12,1)))),"")</f>
        <v/>
      </c>
      <c r="J196">
        <f>IF(I196="","",IF(11-MOD(I196,11)&gt;9,0,11-MOD(I196,11)))</f>
        <v/>
      </c>
      <c r="K196">
        <f>IFERROR(IF(LEN(C196)&lt;&gt;13,"",IF(VALUE(MID(C196,5,3))&gt;=800,1000,2000)+VALUE(MID(C196,5,3))),"")</f>
        <v/>
      </c>
      <c r="L196">
        <f>IFERROR(IF(K196="","",IF(AND(DAY(DATE(K196,VALUE(MID(C196,3,2)),VALUE(MID(C196,1,2))))=VALUE(MID(C196,1,2)),MONTH(DATE(K196,VALUE(MID(C196,3,2)),VALUE(MID(C196,1,2))))=VALUE(MID(C196,3,2))),DATE(K196,VALUE(MID(C196,3,2)),VALUE(MID(C196,1,2))),"")),"")</f>
        <v/>
      </c>
    </row>
    <row r="197">
      <c r="A197" s="2" t="n"/>
      <c r="B197" s="2" t="n"/>
      <c r="C197" s="3" t="n"/>
      <c r="D197" s="2" t="n"/>
      <c r="E197" s="4" t="n"/>
      <c r="F197" s="2" t="n"/>
      <c r="G197" s="2" t="n"/>
      <c r="H197" s="2">
        <f>IF(C197="","",IF(LEN(C197)&lt;&gt;13,"Nema 13 cifara (ima "&amp;LEN(C197)&amp;")",IF(J197="","JMBG sadrži nešto što nije cifra",IF(L197="","Nepostojeći datum rođenja",IF(VALUE(MID(C197,13,1))&lt;&gt;J197,"Pogrešna kontrolna cifra — treba "&amp;J197,"✓ ispravan")))))</f>
        <v/>
      </c>
      <c r="I197">
        <f>IFERROR(IF(LEN(C197)&lt;&gt;13,"",7*(VALUE(MID(C197,1,1))+VALUE(MID(C197,7,1)))+6*(VALUE(MID(C197,2,1))+VALUE(MID(C197,8,1)))+5*(VALUE(MID(C197,3,1))+VALUE(MID(C197,9,1)))+4*(VALUE(MID(C197,4,1))+VALUE(MID(C197,10,1)))+3*(VALUE(MID(C197,5,1))+VALUE(MID(C197,11,1)))+2*(VALUE(MID(C197,6,1))+VALUE(MID(C197,12,1)))),"")</f>
        <v/>
      </c>
      <c r="J197">
        <f>IF(I197="","",IF(11-MOD(I197,11)&gt;9,0,11-MOD(I197,11)))</f>
        <v/>
      </c>
      <c r="K197">
        <f>IFERROR(IF(LEN(C197)&lt;&gt;13,"",IF(VALUE(MID(C197,5,3))&gt;=800,1000,2000)+VALUE(MID(C197,5,3))),"")</f>
        <v/>
      </c>
      <c r="L197">
        <f>IFERROR(IF(K197="","",IF(AND(DAY(DATE(K197,VALUE(MID(C197,3,2)),VALUE(MID(C197,1,2))))=VALUE(MID(C197,1,2)),MONTH(DATE(K197,VALUE(MID(C197,3,2)),VALUE(MID(C197,1,2))))=VALUE(MID(C197,3,2))),DATE(K197,VALUE(MID(C197,3,2)),VALUE(MID(C197,1,2))),"")),"")</f>
        <v/>
      </c>
    </row>
    <row r="198">
      <c r="A198" s="2" t="n"/>
      <c r="B198" s="2" t="n"/>
      <c r="C198" s="3" t="n"/>
      <c r="D198" s="2" t="n"/>
      <c r="E198" s="4" t="n"/>
      <c r="F198" s="2" t="n"/>
      <c r="G198" s="2" t="n"/>
      <c r="H198" s="2">
        <f>IF(C198="","",IF(LEN(C198)&lt;&gt;13,"Nema 13 cifara (ima "&amp;LEN(C198)&amp;")",IF(J198="","JMBG sadrži nešto što nije cifra",IF(L198="","Nepostojeći datum rođenja",IF(VALUE(MID(C198,13,1))&lt;&gt;J198,"Pogrešna kontrolna cifra — treba "&amp;J198,"✓ ispravan")))))</f>
        <v/>
      </c>
      <c r="I198">
        <f>IFERROR(IF(LEN(C198)&lt;&gt;13,"",7*(VALUE(MID(C198,1,1))+VALUE(MID(C198,7,1)))+6*(VALUE(MID(C198,2,1))+VALUE(MID(C198,8,1)))+5*(VALUE(MID(C198,3,1))+VALUE(MID(C198,9,1)))+4*(VALUE(MID(C198,4,1))+VALUE(MID(C198,10,1)))+3*(VALUE(MID(C198,5,1))+VALUE(MID(C198,11,1)))+2*(VALUE(MID(C198,6,1))+VALUE(MID(C198,12,1)))),"")</f>
        <v/>
      </c>
      <c r="J198">
        <f>IF(I198="","",IF(11-MOD(I198,11)&gt;9,0,11-MOD(I198,11)))</f>
        <v/>
      </c>
      <c r="K198">
        <f>IFERROR(IF(LEN(C198)&lt;&gt;13,"",IF(VALUE(MID(C198,5,3))&gt;=800,1000,2000)+VALUE(MID(C198,5,3))),"")</f>
        <v/>
      </c>
      <c r="L198">
        <f>IFERROR(IF(K198="","",IF(AND(DAY(DATE(K198,VALUE(MID(C198,3,2)),VALUE(MID(C198,1,2))))=VALUE(MID(C198,1,2)),MONTH(DATE(K198,VALUE(MID(C198,3,2)),VALUE(MID(C198,1,2))))=VALUE(MID(C198,3,2))),DATE(K198,VALUE(MID(C198,3,2)),VALUE(MID(C198,1,2))),"")),"")</f>
        <v/>
      </c>
    </row>
    <row r="199">
      <c r="A199" s="2" t="n"/>
      <c r="B199" s="2" t="n"/>
      <c r="C199" s="3" t="n"/>
      <c r="D199" s="2" t="n"/>
      <c r="E199" s="4" t="n"/>
      <c r="F199" s="2" t="n"/>
      <c r="G199" s="2" t="n"/>
      <c r="H199" s="2">
        <f>IF(C199="","",IF(LEN(C199)&lt;&gt;13,"Nema 13 cifara (ima "&amp;LEN(C199)&amp;")",IF(J199="","JMBG sadrži nešto što nije cifra",IF(L199="","Nepostojeći datum rođenja",IF(VALUE(MID(C199,13,1))&lt;&gt;J199,"Pogrešna kontrolna cifra — treba "&amp;J199,"✓ ispravan")))))</f>
        <v/>
      </c>
      <c r="I199">
        <f>IFERROR(IF(LEN(C199)&lt;&gt;13,"",7*(VALUE(MID(C199,1,1))+VALUE(MID(C199,7,1)))+6*(VALUE(MID(C199,2,1))+VALUE(MID(C199,8,1)))+5*(VALUE(MID(C199,3,1))+VALUE(MID(C199,9,1)))+4*(VALUE(MID(C199,4,1))+VALUE(MID(C199,10,1)))+3*(VALUE(MID(C199,5,1))+VALUE(MID(C199,11,1)))+2*(VALUE(MID(C199,6,1))+VALUE(MID(C199,12,1)))),"")</f>
        <v/>
      </c>
      <c r="J199">
        <f>IF(I199="","",IF(11-MOD(I199,11)&gt;9,0,11-MOD(I199,11)))</f>
        <v/>
      </c>
      <c r="K199">
        <f>IFERROR(IF(LEN(C199)&lt;&gt;13,"",IF(VALUE(MID(C199,5,3))&gt;=800,1000,2000)+VALUE(MID(C199,5,3))),"")</f>
        <v/>
      </c>
      <c r="L199">
        <f>IFERROR(IF(K199="","",IF(AND(DAY(DATE(K199,VALUE(MID(C199,3,2)),VALUE(MID(C199,1,2))))=VALUE(MID(C199,1,2)),MONTH(DATE(K199,VALUE(MID(C199,3,2)),VALUE(MID(C199,1,2))))=VALUE(MID(C199,3,2))),DATE(K199,VALUE(MID(C199,3,2)),VALUE(MID(C199,1,2))),"")),"")</f>
        <v/>
      </c>
    </row>
    <row r="200">
      <c r="A200" s="2" t="n"/>
      <c r="B200" s="2" t="n"/>
      <c r="C200" s="3" t="n"/>
      <c r="D200" s="2" t="n"/>
      <c r="E200" s="4" t="n"/>
      <c r="F200" s="2" t="n"/>
      <c r="G200" s="2" t="n"/>
      <c r="H200" s="2">
        <f>IF(C200="","",IF(LEN(C200)&lt;&gt;13,"Nema 13 cifara (ima "&amp;LEN(C200)&amp;")",IF(J200="","JMBG sadrži nešto što nije cifra",IF(L200="","Nepostojeći datum rođenja",IF(VALUE(MID(C200,13,1))&lt;&gt;J200,"Pogrešna kontrolna cifra — treba "&amp;J200,"✓ ispravan")))))</f>
        <v/>
      </c>
      <c r="I200">
        <f>IFERROR(IF(LEN(C200)&lt;&gt;13,"",7*(VALUE(MID(C200,1,1))+VALUE(MID(C200,7,1)))+6*(VALUE(MID(C200,2,1))+VALUE(MID(C200,8,1)))+5*(VALUE(MID(C200,3,1))+VALUE(MID(C200,9,1)))+4*(VALUE(MID(C200,4,1))+VALUE(MID(C200,10,1)))+3*(VALUE(MID(C200,5,1))+VALUE(MID(C200,11,1)))+2*(VALUE(MID(C200,6,1))+VALUE(MID(C200,12,1)))),"")</f>
        <v/>
      </c>
      <c r="J200">
        <f>IF(I200="","",IF(11-MOD(I200,11)&gt;9,0,11-MOD(I200,11)))</f>
        <v/>
      </c>
      <c r="K200">
        <f>IFERROR(IF(LEN(C200)&lt;&gt;13,"",IF(VALUE(MID(C200,5,3))&gt;=800,1000,2000)+VALUE(MID(C200,5,3))),"")</f>
        <v/>
      </c>
      <c r="L200">
        <f>IFERROR(IF(K200="","",IF(AND(DAY(DATE(K200,VALUE(MID(C200,3,2)),VALUE(MID(C200,1,2))))=VALUE(MID(C200,1,2)),MONTH(DATE(K200,VALUE(MID(C200,3,2)),VALUE(MID(C200,1,2))))=VALUE(MID(C200,3,2))),DATE(K200,VALUE(MID(C200,3,2)),VALUE(MID(C200,1,2))),"")),"")</f>
        <v/>
      </c>
    </row>
    <row r="201">
      <c r="A201" s="2" t="n"/>
      <c r="B201" s="2" t="n"/>
      <c r="C201" s="3" t="n"/>
      <c r="D201" s="2" t="n"/>
      <c r="E201" s="4" t="n"/>
      <c r="F201" s="2" t="n"/>
      <c r="G201" s="2" t="n"/>
      <c r="H201" s="2">
        <f>IF(C201="","",IF(LEN(C201)&lt;&gt;13,"Nema 13 cifara (ima "&amp;LEN(C201)&amp;")",IF(J201="","JMBG sadrži nešto što nije cifra",IF(L201="","Nepostojeći datum rođenja",IF(VALUE(MID(C201,13,1))&lt;&gt;J201,"Pogrešna kontrolna cifra — treba "&amp;J201,"✓ ispravan")))))</f>
        <v/>
      </c>
      <c r="I201">
        <f>IFERROR(IF(LEN(C201)&lt;&gt;13,"",7*(VALUE(MID(C201,1,1))+VALUE(MID(C201,7,1)))+6*(VALUE(MID(C201,2,1))+VALUE(MID(C201,8,1)))+5*(VALUE(MID(C201,3,1))+VALUE(MID(C201,9,1)))+4*(VALUE(MID(C201,4,1))+VALUE(MID(C201,10,1)))+3*(VALUE(MID(C201,5,1))+VALUE(MID(C201,11,1)))+2*(VALUE(MID(C201,6,1))+VALUE(MID(C201,12,1)))),"")</f>
        <v/>
      </c>
      <c r="J201">
        <f>IF(I201="","",IF(11-MOD(I201,11)&gt;9,0,11-MOD(I201,11)))</f>
        <v/>
      </c>
      <c r="K201">
        <f>IFERROR(IF(LEN(C201)&lt;&gt;13,"",IF(VALUE(MID(C201,5,3))&gt;=800,1000,2000)+VALUE(MID(C201,5,3))),"")</f>
        <v/>
      </c>
      <c r="L201">
        <f>IFERROR(IF(K201="","",IF(AND(DAY(DATE(K201,VALUE(MID(C201,3,2)),VALUE(MID(C201,1,2))))=VALUE(MID(C201,1,2)),MONTH(DATE(K201,VALUE(MID(C201,3,2)),VALUE(MID(C201,1,2))))=VALUE(MID(C201,3,2))),DATE(K201,VALUE(MID(C201,3,2)),VALUE(MID(C201,1,2))),"")),"")</f>
        <v/>
      </c>
    </row>
  </sheetData>
  <autoFilter ref="A1:H201"/>
  <conditionalFormatting sqref="H2:H201">
    <cfRule type="expression" priority="1" dxfId="0" stopIfTrue="1">
      <formula>LEFT($H2,1)="✓"</formula>
    </cfRule>
    <cfRule type="expression" priority="2" dxfId="1">
      <formula>$H2&lt;&gt;""</formula>
    </cfRule>
  </conditionalFormatting>
  <conditionalFormatting sqref="E2:E201">
    <cfRule type="cellIs" priority="3" operator="equal" dxfId="2">
      <formula>"OK"</formula>
    </cfRule>
    <cfRule type="cellIs" priority="4" operator="equal" dxfId="3">
      <formula>"GREŠKA"</formula>
    </cfRule>
    <cfRule type="cellIs" priority="5" operator="equal" dxfId="4">
      <formula>"PRESKOČEN"</formula>
    </cfRule>
    <cfRule type="cellIs" priority="6" operator="equal" dxfId="5">
      <formula>"ČEKA"</formula>
    </cfRule>
  </conditionalFormatting>
  <conditionalFormatting sqref="A2:D201">
    <cfRule type="expression" priority="7" dxfId="3">
      <formula>$E2="GREŠKA"</formula>
    </cfRule>
    <cfRule type="expression" priority="8" dxfId="2">
      <formula>$E2="OK"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30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5" t="inlineStr">
        <is>
          <t>Kako se koristi ova tabela</t>
        </is>
      </c>
    </row>
    <row r="2">
      <c r="B2" t="inlineStr"/>
    </row>
    <row r="3">
      <c r="B3" s="6" t="inlineStr">
        <is>
          <t>1. Unos gostiju</t>
        </is>
      </c>
    </row>
    <row r="4">
      <c r="B4" t="inlineStr">
        <is>
          <t>Popunjavaj kolone A-D: Ime, Prezime, JMBG, Datum.</t>
        </is>
      </c>
    </row>
    <row r="5">
      <c r="B5" t="inlineStr">
        <is>
          <t>JMBG kolona je formatirana kao TEKST — bez toga Excel pojede vodeću nulu kod</t>
        </is>
      </c>
    </row>
    <row r="6">
      <c r="B6" t="inlineStr">
        <is>
          <t>gostiju rođenih 1-9. u mesecu, pa umesto 13 ostane 12 cifara.</t>
        </is>
      </c>
    </row>
    <row r="7">
      <c r="B7" t="inlineStr">
        <is>
          <t>Datum piši kao 05.10-10.10 ili 05.10.2026-10.10.2026 — oba se prepoznaju.</t>
        </is>
      </c>
    </row>
    <row r="8">
      <c r="B8" t="inlineStr"/>
    </row>
    <row r="9">
      <c r="B9" s="6" t="inlineStr">
        <is>
          <t>2. Provera JMBG-a (kolona H)</t>
        </is>
      </c>
    </row>
    <row r="10">
      <c r="B10" t="inlineStr">
        <is>
          <t>Računa se automatski, po zvaničnoj formuli za kontrolnu cifru.</t>
        </is>
      </c>
    </row>
    <row r="11">
      <c r="B11" t="inlineStr">
        <is>
          <t>Zeleno '✓ ispravan' znači da broj matematički može da postoji.</t>
        </is>
      </c>
    </row>
    <row r="12">
      <c r="B12" t="inlineStr">
        <is>
          <t>Crveno kaže tačno šta ne valja, npr. 'Pogrešna kontrolna cifra — treba 8'.</t>
        </is>
      </c>
    </row>
    <row r="13">
      <c r="B13" t="inlineStr">
        <is>
          <t>Kolone I-L su pomoćne (sakrivene) — služe samo formuli u koloni H. Ne diraj ih.</t>
        </is>
      </c>
    </row>
    <row r="14">
      <c r="B14" t="inlineStr"/>
    </row>
    <row r="15">
      <c r="B15" s="7" t="inlineStr">
        <is>
          <t>Provera hvata tipfelere, ali ne može da zna da li broj zaista pripada tom čoveku.</t>
        </is>
      </c>
    </row>
    <row r="16">
      <c r="B16" s="7" t="inlineStr">
        <is>
          <t>To utvrđuje tek portal — i to se posle vidi u koloni RAZLOG.</t>
        </is>
      </c>
    </row>
    <row r="17">
      <c r="B17" t="inlineStr"/>
    </row>
    <row r="18">
      <c r="B18" s="6" t="inlineStr">
        <is>
          <t>3. Slanje u aplikaciju</t>
        </is>
      </c>
    </row>
    <row r="19">
      <c r="B19" t="inlineStr">
        <is>
          <t>Označi kolone A-D za grupu gostiju koju prijavljuješ (5, 10, 30 — koliko hoćeš),</t>
        </is>
      </c>
    </row>
    <row r="20">
      <c r="B20" t="inlineStr">
        <is>
          <t>Ctrl+C, pa u aplikaciji Ctrl+V.</t>
        </is>
      </c>
    </row>
    <row r="21">
      <c r="B21" t="inlineStr"/>
    </row>
    <row r="22">
      <c r="B22" s="6" t="inlineStr">
        <is>
          <t>4. Vraćanje rezultata</t>
        </is>
      </c>
    </row>
    <row r="23">
      <c r="B23" t="inlineStr">
        <is>
          <t>Kad se tura završi, u aplikaciji Ctrl+C i ovde zalepi preko kolone A za te goste.</t>
        </is>
      </c>
    </row>
    <row r="24">
      <c r="B24" t="inlineStr">
        <is>
          <t>Popuniće se i E (STATUS), F (RAZLOG) i G (PDF). Bojenje je već podešeno:</t>
        </is>
      </c>
    </row>
    <row r="25">
      <c r="B25" t="inlineStr">
        <is>
          <t>OK = zeleno, GREŠKA = crveno, PRESKOČEN = sivo.</t>
        </is>
      </c>
    </row>
    <row r="26">
      <c r="B26" t="inlineStr">
        <is>
          <t>Kolone H-L su formule i ostaju netaknute jer su desno od zalepljenog.</t>
        </is>
      </c>
    </row>
    <row r="27">
      <c r="B27" t="inlineStr"/>
    </row>
    <row r="28">
      <c r="B28" s="6" t="inlineStr">
        <is>
          <t>Napomena</t>
        </is>
      </c>
    </row>
    <row r="29">
      <c r="B29" t="inlineStr">
        <is>
          <t>Redovi 2-8 su izmišljeni primeri — obriši ih pre pravog rada.</t>
        </is>
      </c>
    </row>
    <row r="30">
      <c r="B30" t="inlineStr">
        <is>
          <t>Poslednja dva su namerno pokvarena da se vidi kako provera reaguje.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2026-07-27T20:25:33Z</dcterms:created>
  <dcterms:modified xsi:type="dcterms:W3CDTF">2026-07-27T20:25:33Z</dcterms:modified>
</cp:coreProperties>
</file>